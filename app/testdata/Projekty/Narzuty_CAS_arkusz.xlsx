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34541\Documents\"/>
    </mc:Choice>
  </mc:AlternateContent>
  <xr:revisionPtr revIDLastSave="0" documentId="13_ncr:1_{3A37090E-495D-4537-9527-B823EAE7E306}" xr6:coauthVersionLast="47" xr6:coauthVersionMax="47" xr10:uidLastSave="{00000000-0000-0000-0000-000000000000}"/>
  <bookViews>
    <workbookView xWindow="-108" yWindow="-108" windowWidth="23256" windowHeight="12456" activeTab="1" xr2:uid="{F3CCDEA4-D199-4BF1-88FC-06D58F9D4DD8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34" i="2" l="1"/>
  <c r="BL34" i="2" s="1"/>
  <c r="BD34" i="2"/>
  <c r="AS34" i="2"/>
  <c r="AM34" i="2"/>
  <c r="AK34" i="2"/>
  <c r="Z34" i="2"/>
  <c r="T34" i="2"/>
  <c r="R34" i="2"/>
  <c r="AY33" i="2"/>
  <c r="AZ33" i="2" s="1"/>
  <c r="BD33" i="2" s="1"/>
  <c r="AF33" i="2"/>
  <c r="Z33" i="2"/>
  <c r="X33" i="2"/>
  <c r="N33" i="2"/>
  <c r="M33" i="2"/>
  <c r="BF32" i="2"/>
  <c r="BL32" i="2" s="1"/>
  <c r="AM32" i="2"/>
  <c r="AS32" i="2" s="1"/>
  <c r="T32" i="2"/>
  <c r="Z32" i="2" s="1"/>
  <c r="AW31" i="2"/>
  <c r="AD31" i="2"/>
  <c r="AE31" i="2" s="1"/>
  <c r="AK31" i="2" s="1"/>
  <c r="K31" i="2"/>
  <c r="BL30" i="2"/>
  <c r="BI30" i="2"/>
  <c r="AX30" i="2"/>
  <c r="AW30" i="2"/>
  <c r="AD30" i="2"/>
  <c r="W30" i="2"/>
  <c r="K30" i="2"/>
  <c r="L30" i="2" s="1"/>
  <c r="R30" i="2" s="1"/>
  <c r="BA29" i="2"/>
  <c r="BD29" i="2" s="1"/>
  <c r="AH29" i="2"/>
  <c r="AK29" i="2" s="1"/>
  <c r="O29" i="2"/>
  <c r="R29" i="2" s="1"/>
  <c r="BJ28" i="2"/>
  <c r="BH28" i="2"/>
  <c r="BD28" i="2"/>
  <c r="BG28" i="2" s="1"/>
  <c r="AZ28" i="2"/>
  <c r="BL28" i="2" s="1"/>
  <c r="AQ28" i="2"/>
  <c r="AG28" i="2"/>
  <c r="Z28" i="2"/>
  <c r="X28" i="2"/>
  <c r="N28" i="2"/>
  <c r="BJ27" i="2"/>
  <c r="AY27" i="2"/>
  <c r="AQ27" i="2"/>
  <c r="AG27" i="2"/>
  <c r="AF27" i="2"/>
  <c r="N27" i="2"/>
  <c r="R27" i="2" s="1"/>
  <c r="U27" i="2" s="1"/>
  <c r="M27" i="2"/>
  <c r="BJ26" i="2"/>
  <c r="AY26" i="2"/>
  <c r="AQ26" i="2"/>
  <c r="AF26" i="2"/>
  <c r="AG26" i="2" s="1"/>
  <c r="X26" i="2"/>
  <c r="N26" i="2"/>
  <c r="M26" i="2"/>
  <c r="AZ25" i="2"/>
  <c r="BD25" i="2" s="1"/>
  <c r="BG25" i="2" s="1"/>
  <c r="AY25" i="2"/>
  <c r="AQ25" i="2"/>
  <c r="AF25" i="2"/>
  <c r="AA25" i="2"/>
  <c r="Z25" i="2"/>
  <c r="X25" i="2"/>
  <c r="AC25" i="2" s="1"/>
  <c r="R25" i="2"/>
  <c r="U25" i="2" s="1"/>
  <c r="N25" i="2"/>
  <c r="V25" i="2" s="1"/>
  <c r="M25" i="2"/>
  <c r="BI24" i="2"/>
  <c r="AX24" i="2"/>
  <c r="AW24" i="2"/>
  <c r="AS24" i="2"/>
  <c r="AE24" i="2"/>
  <c r="AK24" i="2" s="1"/>
  <c r="AN24" i="2" s="1"/>
  <c r="AD24" i="2"/>
  <c r="W24" i="2"/>
  <c r="K24" i="2"/>
  <c r="BM23" i="2"/>
  <c r="BL23" i="2"/>
  <c r="BI23" i="2"/>
  <c r="BO23" i="2" s="1"/>
  <c r="BD23" i="2"/>
  <c r="BG23" i="2" s="1"/>
  <c r="AX23" i="2"/>
  <c r="BH23" i="2" s="1"/>
  <c r="AW23" i="2"/>
  <c r="BN23" i="2" s="1"/>
  <c r="AP23" i="2"/>
  <c r="AE23" i="2"/>
  <c r="AD23" i="2"/>
  <c r="Z23" i="2"/>
  <c r="L23" i="2"/>
  <c r="R23" i="2" s="1"/>
  <c r="U23" i="2" s="1"/>
  <c r="K23" i="2"/>
  <c r="BI22" i="2"/>
  <c r="AW22" i="2"/>
  <c r="AT22" i="2"/>
  <c r="AS22" i="2"/>
  <c r="AP22" i="2"/>
  <c r="AV22" i="2" s="1"/>
  <c r="AK22" i="2"/>
  <c r="AO22" i="2" s="1"/>
  <c r="AE22" i="2"/>
  <c r="AD22" i="2"/>
  <c r="W22" i="2"/>
  <c r="L22" i="2"/>
  <c r="K22" i="2"/>
  <c r="BL21" i="2"/>
  <c r="AX21" i="2"/>
  <c r="BD21" i="2" s="1"/>
  <c r="BG21" i="2" s="1"/>
  <c r="AW21" i="2"/>
  <c r="AP21" i="2"/>
  <c r="AD21" i="2"/>
  <c r="AA21" i="2"/>
  <c r="Z21" i="2"/>
  <c r="W21" i="2"/>
  <c r="AC21" i="2" s="1"/>
  <c r="R21" i="2"/>
  <c r="V21" i="2" s="1"/>
  <c r="L21" i="2"/>
  <c r="K21" i="2"/>
  <c r="BI20" i="2"/>
  <c r="AX20" i="2"/>
  <c r="AW20" i="2"/>
  <c r="AS20" i="2"/>
  <c r="AE20" i="2"/>
  <c r="AK20" i="2" s="1"/>
  <c r="AN20" i="2" s="1"/>
  <c r="AD20" i="2"/>
  <c r="W20" i="2"/>
  <c r="K20" i="2"/>
  <c r="BM19" i="2"/>
  <c r="BL19" i="2"/>
  <c r="BI19" i="2"/>
  <c r="BO19" i="2" s="1"/>
  <c r="BD19" i="2"/>
  <c r="BG19" i="2" s="1"/>
  <c r="AX19" i="2"/>
  <c r="BH19" i="2" s="1"/>
  <c r="AW19" i="2"/>
  <c r="AP19" i="2"/>
  <c r="AE19" i="2"/>
  <c r="AD19" i="2"/>
  <c r="Z19" i="2"/>
  <c r="L19" i="2"/>
  <c r="R19" i="2" s="1"/>
  <c r="U19" i="2" s="1"/>
  <c r="K19" i="2"/>
  <c r="BI18" i="2"/>
  <c r="AW18" i="2"/>
  <c r="AT18" i="2"/>
  <c r="AS18" i="2"/>
  <c r="AP18" i="2"/>
  <c r="AV18" i="2" s="1"/>
  <c r="AK18" i="2"/>
  <c r="AN18" i="2" s="1"/>
  <c r="AE18" i="2"/>
  <c r="AO18" i="2" s="1"/>
  <c r="AD18" i="2"/>
  <c r="AU18" i="2" s="1"/>
  <c r="W18" i="2"/>
  <c r="L18" i="2"/>
  <c r="K18" i="2"/>
  <c r="BL17" i="2"/>
  <c r="AX17" i="2"/>
  <c r="BD17" i="2" s="1"/>
  <c r="BG17" i="2" s="1"/>
  <c r="AW17" i="2"/>
  <c r="AP17" i="2"/>
  <c r="AD17" i="2"/>
  <c r="W17" i="2"/>
  <c r="K17" i="2"/>
  <c r="BI16" i="2"/>
  <c r="AX16" i="2"/>
  <c r="AW16" i="2"/>
  <c r="AS16" i="2"/>
  <c r="AN16" i="2"/>
  <c r="AE16" i="2"/>
  <c r="AK16" i="2" s="1"/>
  <c r="AD16" i="2"/>
  <c r="W16" i="2"/>
  <c r="K16" i="2"/>
  <c r="BI15" i="2"/>
  <c r="AW15" i="2"/>
  <c r="AP15" i="2"/>
  <c r="AE15" i="2"/>
  <c r="AD15" i="2"/>
  <c r="Z15" i="2"/>
  <c r="L15" i="2"/>
  <c r="R15" i="2" s="1"/>
  <c r="U15" i="2" s="1"/>
  <c r="K15" i="2"/>
  <c r="BI14" i="2"/>
  <c r="AW14" i="2"/>
  <c r="AP14" i="2"/>
  <c r="AD14" i="2"/>
  <c r="W14" i="2"/>
  <c r="L14" i="2"/>
  <c r="K14" i="2"/>
  <c r="BO13" i="2"/>
  <c r="BN13" i="2"/>
  <c r="AV13" i="2"/>
  <c r="AU13" i="2"/>
  <c r="AC13" i="2"/>
  <c r="AB13" i="2"/>
  <c r="BO12" i="2"/>
  <c r="BN12" i="2"/>
  <c r="AV12" i="2"/>
  <c r="AU12" i="2"/>
  <c r="AC12" i="2"/>
  <c r="AB12" i="2"/>
  <c r="BO11" i="2"/>
  <c r="BN11" i="2"/>
  <c r="AV11" i="2"/>
  <c r="AU11" i="2"/>
  <c r="AC11" i="2"/>
  <c r="AB11" i="2"/>
  <c r="BO10" i="2"/>
  <c r="BN10" i="2"/>
  <c r="AV10" i="2"/>
  <c r="AU10" i="2"/>
  <c r="AC10" i="2"/>
  <c r="AB10" i="2"/>
  <c r="BO9" i="2"/>
  <c r="BM9" i="2"/>
  <c r="BH9" i="2"/>
  <c r="BD9" i="2"/>
  <c r="AK9" i="2"/>
  <c r="AA9" i="2"/>
  <c r="AC9" i="2" s="1"/>
  <c r="V9" i="2"/>
  <c r="U9" i="2"/>
  <c r="R9" i="2"/>
  <c r="AB9" i="2" s="1"/>
  <c r="BK8" i="2"/>
  <c r="BB8" i="2"/>
  <c r="AS8" i="2"/>
  <c r="AR8" i="2"/>
  <c r="AI8" i="2"/>
  <c r="AA8" i="2"/>
  <c r="Z8" i="2"/>
  <c r="Y8" i="2"/>
  <c r="AC8" i="2" s="1"/>
  <c r="R8" i="2"/>
  <c r="V8" i="2" s="1"/>
  <c r="P8" i="2"/>
  <c r="BK7" i="2"/>
  <c r="BC7" i="2"/>
  <c r="BB7" i="2"/>
  <c r="AR7" i="2"/>
  <c r="AK7" i="2"/>
  <c r="AJ7" i="2"/>
  <c r="AI7" i="2"/>
  <c r="AA7" i="2"/>
  <c r="Y7" i="2"/>
  <c r="V7" i="2"/>
  <c r="R7" i="2"/>
  <c r="Q7" i="2"/>
  <c r="P7" i="2"/>
  <c r="U7" i="2" s="1"/>
  <c r="BL6" i="2"/>
  <c r="BG6" i="2"/>
  <c r="BE6" i="2"/>
  <c r="BD6" i="2"/>
  <c r="BH6" i="2" s="1"/>
  <c r="AS6" i="2"/>
  <c r="AN6" i="2"/>
  <c r="AL6" i="2"/>
  <c r="AK6" i="2"/>
  <c r="AO6" i="2" s="1"/>
  <c r="Z6" i="2"/>
  <c r="U6" i="2"/>
  <c r="S6" i="2"/>
  <c r="R6" i="2"/>
  <c r="V6" i="2" s="1"/>
  <c r="BE32" i="1"/>
  <c r="AL32" i="1"/>
  <c r="S32" i="1"/>
  <c r="AX31" i="1"/>
  <c r="AP31" i="1"/>
  <c r="AF31" i="1"/>
  <c r="AE31" i="1"/>
  <c r="M31" i="1"/>
  <c r="L31" i="1"/>
  <c r="W31" i="1" s="1"/>
  <c r="BE30" i="1"/>
  <c r="AL30" i="1"/>
  <c r="S30" i="1"/>
  <c r="BH29" i="1"/>
  <c r="AW29" i="1"/>
  <c r="AV29" i="1"/>
  <c r="AC29" i="1"/>
  <c r="V29" i="1"/>
  <c r="K29" i="1"/>
  <c r="J29" i="1"/>
  <c r="AW28" i="1"/>
  <c r="AV28" i="1"/>
  <c r="BH28" i="1" s="1"/>
  <c r="AO28" i="1"/>
  <c r="AD28" i="1"/>
  <c r="AC28" i="1"/>
  <c r="J28" i="1"/>
  <c r="AG27" i="1"/>
  <c r="N27" i="1"/>
  <c r="BI26" i="1"/>
  <c r="AY26" i="1"/>
  <c r="AP26" i="1"/>
  <c r="AF26" i="1"/>
  <c r="W26" i="1"/>
  <c r="M26" i="1"/>
  <c r="BI25" i="1"/>
  <c r="AX25" i="1"/>
  <c r="AF25" i="1"/>
  <c r="AE25" i="1"/>
  <c r="L25" i="1"/>
  <c r="AX24" i="1"/>
  <c r="AP24" i="1"/>
  <c r="AE24" i="1"/>
  <c r="M24" i="1"/>
  <c r="L24" i="1"/>
  <c r="AX23" i="1"/>
  <c r="AE23" i="1"/>
  <c r="L23" i="1"/>
  <c r="AW22" i="1"/>
  <c r="AV22" i="1"/>
  <c r="AC22" i="1"/>
  <c r="J22" i="1"/>
  <c r="AV21" i="1"/>
  <c r="AD21" i="1"/>
  <c r="AC21" i="1"/>
  <c r="K21" i="1"/>
  <c r="J21" i="1"/>
  <c r="AV20" i="1"/>
  <c r="AD20" i="1"/>
  <c r="AC20" i="1"/>
  <c r="K20" i="1"/>
  <c r="J20" i="1"/>
  <c r="AW19" i="1"/>
  <c r="AV19" i="1"/>
  <c r="AC19" i="1"/>
  <c r="V19" i="1"/>
  <c r="K19" i="1"/>
  <c r="J19" i="1"/>
  <c r="AW18" i="1"/>
  <c r="AV18" i="1"/>
  <c r="AC18" i="1"/>
  <c r="AO18" i="1" s="1"/>
  <c r="J18" i="1"/>
  <c r="BH17" i="1"/>
  <c r="AW17" i="1"/>
  <c r="AV17" i="1"/>
  <c r="AD17" i="1"/>
  <c r="AC17" i="1"/>
  <c r="V17" i="1"/>
  <c r="J17" i="1"/>
  <c r="AV16" i="1"/>
  <c r="AC16" i="1"/>
  <c r="AD16" i="1" s="1"/>
  <c r="K16" i="1"/>
  <c r="J16" i="1"/>
  <c r="AV15" i="1"/>
  <c r="AC15" i="1"/>
  <c r="V15" i="1"/>
  <c r="J15" i="1"/>
  <c r="AW14" i="1"/>
  <c r="AV14" i="1"/>
  <c r="AC14" i="1"/>
  <c r="J14" i="1"/>
  <c r="AV13" i="1"/>
  <c r="AD13" i="1"/>
  <c r="AC13" i="1"/>
  <c r="V13" i="1"/>
  <c r="J13" i="1"/>
  <c r="AV12" i="1"/>
  <c r="AC12" i="1"/>
  <c r="K12" i="1"/>
  <c r="J12" i="1"/>
  <c r="BN11" i="1"/>
  <c r="BM11" i="1"/>
  <c r="AU11" i="1"/>
  <c r="AT11" i="1"/>
  <c r="AB11" i="1"/>
  <c r="AA11" i="1"/>
  <c r="BN10" i="1"/>
  <c r="BM10" i="1"/>
  <c r="AU10" i="1"/>
  <c r="AT10" i="1"/>
  <c r="AB10" i="1"/>
  <c r="AA10" i="1"/>
  <c r="BN9" i="1"/>
  <c r="BM9" i="1"/>
  <c r="AU9" i="1"/>
  <c r="AT9" i="1"/>
  <c r="AB9" i="1"/>
  <c r="AA9" i="1"/>
  <c r="BN8" i="1"/>
  <c r="BM8" i="1"/>
  <c r="AU8" i="1"/>
  <c r="AT8" i="1"/>
  <c r="AB8" i="1"/>
  <c r="AA8" i="1"/>
  <c r="BJ6" i="1"/>
  <c r="BA6" i="1"/>
  <c r="AQ6" i="1"/>
  <c r="AH6" i="1"/>
  <c r="X6" i="1"/>
  <c r="O6" i="1"/>
  <c r="BJ5" i="1"/>
  <c r="BB5" i="1"/>
  <c r="BA5" i="1"/>
  <c r="AQ5" i="1"/>
  <c r="AI5" i="1"/>
  <c r="AH5" i="1"/>
  <c r="X5" i="1"/>
  <c r="P5" i="1"/>
  <c r="O5" i="1"/>
  <c r="BN19" i="2" l="1"/>
  <c r="AB25" i="2"/>
  <c r="V28" i="2"/>
  <c r="AA29" i="2"/>
  <c r="V29" i="2"/>
  <c r="U29" i="2"/>
  <c r="AB29" i="2" s="1"/>
  <c r="AA22" i="2"/>
  <c r="AN29" i="2"/>
  <c r="AT29" i="2"/>
  <c r="AO29" i="2"/>
  <c r="BO6" i="2"/>
  <c r="BM29" i="2"/>
  <c r="BG29" i="2"/>
  <c r="BH29" i="2"/>
  <c r="AT15" i="2"/>
  <c r="AO15" i="2"/>
  <c r="AB18" i="2"/>
  <c r="AS26" i="2"/>
  <c r="AK26" i="2"/>
  <c r="AO26" i="2" s="1"/>
  <c r="AC7" i="2"/>
  <c r="BM16" i="2"/>
  <c r="BL7" i="2"/>
  <c r="BH7" i="2"/>
  <c r="BG7" i="2"/>
  <c r="BD7" i="2"/>
  <c r="V18" i="2"/>
  <c r="BN21" i="2"/>
  <c r="BM24" i="2"/>
  <c r="AA6" i="2"/>
  <c r="AC6" i="2" s="1"/>
  <c r="AT6" i="2"/>
  <c r="AV6" i="2" s="1"/>
  <c r="BM6" i="2"/>
  <c r="AN7" i="2"/>
  <c r="AU7" i="2" s="1"/>
  <c r="BL8" i="2"/>
  <c r="R14" i="2"/>
  <c r="AA14" i="2" s="1"/>
  <c r="BL14" i="2"/>
  <c r="V15" i="2"/>
  <c r="AB15" i="2" s="1"/>
  <c r="AK15" i="2"/>
  <c r="AO16" i="2"/>
  <c r="AU16" i="2" s="1"/>
  <c r="BD16" i="2"/>
  <c r="BH16" i="2" s="1"/>
  <c r="AS17" i="2"/>
  <c r="AV17" i="2" s="1"/>
  <c r="BH17" i="2"/>
  <c r="BN17" i="2" s="1"/>
  <c r="R18" i="2"/>
  <c r="AA18" i="2" s="1"/>
  <c r="V19" i="2"/>
  <c r="AB19" i="2" s="1"/>
  <c r="AK19" i="2"/>
  <c r="AO20" i="2"/>
  <c r="AU20" i="2" s="1"/>
  <c r="BD20" i="2"/>
  <c r="BH21" i="2"/>
  <c r="R22" i="2"/>
  <c r="AB22" i="2" s="1"/>
  <c r="V23" i="2"/>
  <c r="AB23" i="2" s="1"/>
  <c r="AK23" i="2"/>
  <c r="AT23" i="2" s="1"/>
  <c r="AO24" i="2"/>
  <c r="AU24" i="2" s="1"/>
  <c r="BD24" i="2"/>
  <c r="BN24" i="2" s="1"/>
  <c r="BH25" i="2"/>
  <c r="BN25" i="2" s="1"/>
  <c r="R26" i="2"/>
  <c r="AB26" i="2" s="1"/>
  <c r="BL26" i="2"/>
  <c r="BO26" i="2" s="1"/>
  <c r="V27" i="2"/>
  <c r="AB27" i="2" s="1"/>
  <c r="AK27" i="2"/>
  <c r="AT27" i="2" s="1"/>
  <c r="AS28" i="2"/>
  <c r="U30" i="2"/>
  <c r="AE30" i="2"/>
  <c r="AN30" i="2" s="1"/>
  <c r="W31" i="2"/>
  <c r="AN31" i="2"/>
  <c r="AU31" i="2" s="1"/>
  <c r="AX31" i="2"/>
  <c r="BM31" i="2" s="1"/>
  <c r="AQ33" i="2"/>
  <c r="BG33" i="2"/>
  <c r="AB6" i="2"/>
  <c r="AU6" i="2"/>
  <c r="BN6" i="2"/>
  <c r="Z7" i="2"/>
  <c r="AO7" i="2"/>
  <c r="BG9" i="2"/>
  <c r="BN9" i="2" s="1"/>
  <c r="U14" i="2"/>
  <c r="AE14" i="2"/>
  <c r="W15" i="2"/>
  <c r="AN15" i="2"/>
  <c r="AU15" i="2" s="1"/>
  <c r="AX15" i="2"/>
  <c r="AP16" i="2"/>
  <c r="AV16" i="2" s="1"/>
  <c r="BG16" i="2"/>
  <c r="L17" i="2"/>
  <c r="BI17" i="2"/>
  <c r="U18" i="2"/>
  <c r="W19" i="2"/>
  <c r="AN19" i="2"/>
  <c r="AP20" i="2"/>
  <c r="AV20" i="2" s="1"/>
  <c r="BI21" i="2"/>
  <c r="U22" i="2"/>
  <c r="W23" i="2"/>
  <c r="AN23" i="2"/>
  <c r="AA24" i="2"/>
  <c r="AP24" i="2"/>
  <c r="BG24" i="2"/>
  <c r="BJ25" i="2"/>
  <c r="U26" i="2"/>
  <c r="BM26" i="2"/>
  <c r="X27" i="2"/>
  <c r="AN27" i="2"/>
  <c r="AZ27" i="2"/>
  <c r="Z29" i="2"/>
  <c r="AC29" i="2" s="1"/>
  <c r="AS29" i="2"/>
  <c r="AV29" i="2" s="1"/>
  <c r="BL29" i="2"/>
  <c r="BO29" i="2" s="1"/>
  <c r="V30" i="2"/>
  <c r="AB30" i="2" s="1"/>
  <c r="AK30" i="2"/>
  <c r="AO31" i="2"/>
  <c r="BD31" i="2"/>
  <c r="R32" i="2"/>
  <c r="AK32" i="2"/>
  <c r="BD32" i="2"/>
  <c r="BH33" i="2"/>
  <c r="U34" i="2"/>
  <c r="AB34" i="2" s="1"/>
  <c r="AN34" i="2"/>
  <c r="AU34" i="2" s="1"/>
  <c r="BG34" i="2"/>
  <c r="BN34" i="2" s="1"/>
  <c r="V22" i="2"/>
  <c r="AO23" i="2"/>
  <c r="BH24" i="2"/>
  <c r="BL25" i="2"/>
  <c r="V26" i="2"/>
  <c r="Z27" i="2"/>
  <c r="AO27" i="2"/>
  <c r="BM28" i="2"/>
  <c r="BO28" i="2" s="1"/>
  <c r="AP31" i="2"/>
  <c r="BG31" i="2"/>
  <c r="BN31" i="2" s="1"/>
  <c r="BJ33" i="2"/>
  <c r="BO33" i="2" s="1"/>
  <c r="V34" i="2"/>
  <c r="AO34" i="2"/>
  <c r="BH34" i="2"/>
  <c r="AB7" i="2"/>
  <c r="AS7" i="2"/>
  <c r="AV7" i="2" s="1"/>
  <c r="U8" i="2"/>
  <c r="AB8" i="2" s="1"/>
  <c r="AK8" i="2"/>
  <c r="AO8" i="2" s="1"/>
  <c r="AN9" i="2"/>
  <c r="AU9" i="2" s="1"/>
  <c r="AX14" i="2"/>
  <c r="BM14" i="2" s="1"/>
  <c r="AA15" i="2"/>
  <c r="L16" i="2"/>
  <c r="R16" i="2" s="1"/>
  <c r="AT16" i="2"/>
  <c r="AE17" i="2"/>
  <c r="AT17" i="2" s="1"/>
  <c r="BM17" i="2"/>
  <c r="AX18" i="2"/>
  <c r="BH18" i="2" s="1"/>
  <c r="AA19" i="2"/>
  <c r="L20" i="2"/>
  <c r="AT20" i="2"/>
  <c r="U21" i="2"/>
  <c r="AB21" i="2" s="1"/>
  <c r="AE21" i="2"/>
  <c r="AS21" i="2" s="1"/>
  <c r="BM21" i="2"/>
  <c r="AN22" i="2"/>
  <c r="AU22" i="2" s="1"/>
  <c r="AX22" i="2"/>
  <c r="BH22" i="2" s="1"/>
  <c r="AA23" i="2"/>
  <c r="L24" i="2"/>
  <c r="AT24" i="2"/>
  <c r="AG25" i="2"/>
  <c r="BM25" i="2"/>
  <c r="AZ26" i="2"/>
  <c r="BH26" i="2" s="1"/>
  <c r="BN26" i="2" s="1"/>
  <c r="AA27" i="2"/>
  <c r="R28" i="2"/>
  <c r="AA28" i="2" s="1"/>
  <c r="AC28" i="2" s="1"/>
  <c r="BN28" i="2"/>
  <c r="AU29" i="2"/>
  <c r="BN29" i="2"/>
  <c r="Z30" i="2"/>
  <c r="AC30" i="2" s="1"/>
  <c r="BD30" i="2"/>
  <c r="AS31" i="2"/>
  <c r="BH31" i="2"/>
  <c r="R33" i="2"/>
  <c r="U33" i="2" s="1"/>
  <c r="BL33" i="2"/>
  <c r="AT7" i="2"/>
  <c r="BD8" i="2"/>
  <c r="BM8" i="2" s="1"/>
  <c r="AO9" i="2"/>
  <c r="Z14" i="2"/>
  <c r="BD14" i="2"/>
  <c r="AS15" i="2"/>
  <c r="AV15" i="2" s="1"/>
  <c r="BL16" i="2"/>
  <c r="AK17" i="2"/>
  <c r="AN17" i="2" s="1"/>
  <c r="Z18" i="2"/>
  <c r="BD18" i="2"/>
  <c r="BG18" i="2" s="1"/>
  <c r="AS19" i="2"/>
  <c r="R20" i="2"/>
  <c r="BL20" i="2"/>
  <c r="AK21" i="2"/>
  <c r="Z22" i="2"/>
  <c r="BD22" i="2"/>
  <c r="AS23" i="2"/>
  <c r="R24" i="2"/>
  <c r="BL24" i="2"/>
  <c r="Z26" i="2"/>
  <c r="BD26" i="2"/>
  <c r="AS27" i="2"/>
  <c r="U28" i="2"/>
  <c r="AK28" i="2"/>
  <c r="AO28" i="2" s="1"/>
  <c r="AA30" i="2"/>
  <c r="AP30" i="2"/>
  <c r="L31" i="2"/>
  <c r="AT31" i="2"/>
  <c r="BI31" i="2"/>
  <c r="AG33" i="2"/>
  <c r="BM33" i="2"/>
  <c r="AA34" i="2"/>
  <c r="AC34" i="2" s="1"/>
  <c r="AT34" i="2"/>
  <c r="AV34" i="2" s="1"/>
  <c r="BM34" i="2"/>
  <c r="BO34" i="2" s="1"/>
  <c r="AT9" i="2"/>
  <c r="AV9" i="2" s="1"/>
  <c r="BG14" i="2"/>
  <c r="AN21" i="2"/>
  <c r="BG22" i="2"/>
  <c r="BN22" i="2" s="1"/>
  <c r="U24" i="2"/>
  <c r="BG26" i="2"/>
  <c r="AS30" i="2"/>
  <c r="BL31" i="2"/>
  <c r="BN33" i="2"/>
  <c r="K22" i="1"/>
  <c r="V22" i="1"/>
  <c r="K14" i="1"/>
  <c r="V14" i="1"/>
  <c r="AD18" i="1"/>
  <c r="M25" i="1"/>
  <c r="AD29" i="1"/>
  <c r="AO29" i="1"/>
  <c r="K18" i="1"/>
  <c r="V18" i="1"/>
  <c r="AW21" i="1"/>
  <c r="BI23" i="1"/>
  <c r="AD14" i="1"/>
  <c r="AO14" i="1"/>
  <c r="AO12" i="1"/>
  <c r="AW13" i="1"/>
  <c r="AW15" i="1"/>
  <c r="W23" i="1"/>
  <c r="AY23" i="1"/>
  <c r="AY24" i="1"/>
  <c r="BI24" i="1"/>
  <c r="AY25" i="1"/>
  <c r="AW16" i="1"/>
  <c r="BH16" i="1"/>
  <c r="AD12" i="1"/>
  <c r="AD15" i="1"/>
  <c r="AO15" i="1"/>
  <c r="AO16" i="1"/>
  <c r="AO22" i="1"/>
  <c r="AY31" i="1"/>
  <c r="BI31" i="1"/>
  <c r="AW20" i="1"/>
  <c r="BH20" i="1"/>
  <c r="M23" i="1"/>
  <c r="BH15" i="1"/>
  <c r="AD19" i="1"/>
  <c r="AO19" i="1"/>
  <c r="AO20" i="1"/>
  <c r="BH21" i="1"/>
  <c r="AD22" i="1"/>
  <c r="AF23" i="1"/>
  <c r="AP23" i="1"/>
  <c r="W25" i="1"/>
  <c r="K13" i="1"/>
  <c r="AW12" i="1"/>
  <c r="BH12" i="1"/>
  <c r="BH13" i="1"/>
  <c r="K15" i="1"/>
  <c r="K17" i="1"/>
  <c r="BH19" i="1"/>
  <c r="V21" i="1"/>
  <c r="AF24" i="1"/>
  <c r="K28" i="1"/>
  <c r="V28" i="1"/>
  <c r="V12" i="1"/>
  <c r="AO13" i="1"/>
  <c r="BH14" i="1"/>
  <c r="V16" i="1"/>
  <c r="AO17" i="1"/>
  <c r="BH18" i="1"/>
  <c r="V20" i="1"/>
  <c r="AO21" i="1"/>
  <c r="BH22" i="1"/>
  <c r="W24" i="1"/>
  <c r="AP25" i="1"/>
  <c r="AO25" i="2" l="1"/>
  <c r="AU25" i="2" s="1"/>
  <c r="BH15" i="2"/>
  <c r="BO14" i="2"/>
  <c r="AV28" i="2"/>
  <c r="AV26" i="2"/>
  <c r="AO14" i="2"/>
  <c r="BO8" i="2"/>
  <c r="R31" i="2"/>
  <c r="AA31" i="2"/>
  <c r="V31" i="2"/>
  <c r="AB31" i="2" s="1"/>
  <c r="AK25" i="2"/>
  <c r="AN25" i="2" s="1"/>
  <c r="BM32" i="2"/>
  <c r="BO32" i="2" s="1"/>
  <c r="BH32" i="2"/>
  <c r="BG32" i="2"/>
  <c r="BN32" i="2" s="1"/>
  <c r="AC27" i="2"/>
  <c r="AA20" i="2"/>
  <c r="Z24" i="2"/>
  <c r="AC24" i="2" s="1"/>
  <c r="AU14" i="2"/>
  <c r="BN7" i="2"/>
  <c r="AT26" i="2"/>
  <c r="AO17" i="2"/>
  <c r="AU17" i="2" s="1"/>
  <c r="AS14" i="2"/>
  <c r="AN14" i="2"/>
  <c r="AK14" i="2"/>
  <c r="AT14" i="2" s="1"/>
  <c r="BO24" i="2"/>
  <c r="AV19" i="2"/>
  <c r="AC14" i="2"/>
  <c r="BN14" i="2"/>
  <c r="AT32" i="2"/>
  <c r="AV32" i="2" s="1"/>
  <c r="AO32" i="2"/>
  <c r="AN32" i="2"/>
  <c r="AU32" i="2"/>
  <c r="AC23" i="2"/>
  <c r="BM30" i="2"/>
  <c r="BO30" i="2" s="1"/>
  <c r="Z20" i="2"/>
  <c r="AN26" i="2"/>
  <c r="AU26" i="2" s="1"/>
  <c r="BH14" i="2"/>
  <c r="V14" i="2"/>
  <c r="AB14" i="2" s="1"/>
  <c r="BN16" i="2"/>
  <c r="BM20" i="2"/>
  <c r="AA32" i="2"/>
  <c r="AC32" i="2" s="1"/>
  <c r="V32" i="2"/>
  <c r="U32" i="2"/>
  <c r="AB32" i="2" s="1"/>
  <c r="BM22" i="2"/>
  <c r="AC19" i="2"/>
  <c r="AA16" i="2"/>
  <c r="V20" i="2"/>
  <c r="AU23" i="2"/>
  <c r="U20" i="2"/>
  <c r="AB20" i="2" s="1"/>
  <c r="AN28" i="2"/>
  <c r="AU28" i="2" s="1"/>
  <c r="AV23" i="2"/>
  <c r="AC18" i="2"/>
  <c r="BG8" i="2"/>
  <c r="BN8" i="2"/>
  <c r="BH20" i="2"/>
  <c r="BO25" i="2"/>
  <c r="BM18" i="2"/>
  <c r="BL15" i="2"/>
  <c r="BD15" i="2"/>
  <c r="BG15" i="2" s="1"/>
  <c r="BN15" i="2" s="1"/>
  <c r="BM15" i="2"/>
  <c r="AU8" i="2"/>
  <c r="BL22" i="2"/>
  <c r="BO22" i="2" s="1"/>
  <c r="Z16" i="2"/>
  <c r="AC16" i="2" s="1"/>
  <c r="AT8" i="2"/>
  <c r="AV8" i="2" s="1"/>
  <c r="AT30" i="2"/>
  <c r="AV30" i="2" s="1"/>
  <c r="AT19" i="2"/>
  <c r="AO21" i="2"/>
  <c r="AU21" i="2" s="1"/>
  <c r="V16" i="2"/>
  <c r="AU27" i="2"/>
  <c r="V24" i="2"/>
  <c r="AB24" i="2" s="1"/>
  <c r="AN8" i="2"/>
  <c r="AV31" i="2"/>
  <c r="AT28" i="2"/>
  <c r="AT25" i="2"/>
  <c r="BO21" i="2"/>
  <c r="BL18" i="2"/>
  <c r="BO18" i="2" s="1"/>
  <c r="BM7" i="2"/>
  <c r="BO7" i="2" s="1"/>
  <c r="AA26" i="2"/>
  <c r="AC26" i="2" s="1"/>
  <c r="BG30" i="2"/>
  <c r="BN30" i="2" s="1"/>
  <c r="BO20" i="2"/>
  <c r="AK33" i="2"/>
  <c r="AO33" i="2"/>
  <c r="AT33" i="2"/>
  <c r="AV33" i="2" s="1"/>
  <c r="AV27" i="2"/>
  <c r="AC22" i="2"/>
  <c r="BO16" i="2"/>
  <c r="AO30" i="2"/>
  <c r="AU30" i="2" s="1"/>
  <c r="AO19" i="2"/>
  <c r="AU19" i="2" s="1"/>
  <c r="Z31" i="2"/>
  <c r="AC31" i="2" s="1"/>
  <c r="AB28" i="2"/>
  <c r="AT21" i="2"/>
  <c r="AV21" i="2" s="1"/>
  <c r="BO17" i="2"/>
  <c r="AC15" i="2"/>
  <c r="AA33" i="2"/>
  <c r="AC33" i="2" s="1"/>
  <c r="AS25" i="2"/>
  <c r="AV25" i="2" s="1"/>
  <c r="BH30" i="2"/>
  <c r="Z17" i="2"/>
  <c r="R17" i="2"/>
  <c r="AA17" i="2" s="1"/>
  <c r="U16" i="2"/>
  <c r="AB16" i="2" s="1"/>
  <c r="BO31" i="2"/>
  <c r="BN18" i="2"/>
  <c r="AS33" i="2"/>
  <c r="BL27" i="2"/>
  <c r="BM27" i="2"/>
  <c r="BG27" i="2"/>
  <c r="BD27" i="2"/>
  <c r="BH27" i="2" s="1"/>
  <c r="AV24" i="2"/>
  <c r="BG20" i="2"/>
  <c r="BN20" i="2" s="1"/>
  <c r="BH8" i="2"/>
  <c r="U31" i="2"/>
  <c r="V33" i="2"/>
  <c r="AB33" i="2" s="1"/>
  <c r="BN27" i="2" l="1"/>
  <c r="AC20" i="2"/>
  <c r="AV14" i="2"/>
  <c r="AC17" i="2"/>
  <c r="V17" i="2"/>
  <c r="U17" i="2"/>
  <c r="AB17" i="2" s="1"/>
  <c r="BO27" i="2"/>
  <c r="BO15" i="2"/>
  <c r="AN33" i="2"/>
  <c r="AU33" i="2" s="1"/>
  <c r="BN15" i="1" l="1"/>
  <c r="BK15" i="1"/>
  <c r="BN18" i="1"/>
  <c r="BK18" i="1"/>
  <c r="AB27" i="1"/>
  <c r="Y27" i="1"/>
  <c r="BN12" i="1"/>
  <c r="BK12" i="1"/>
  <c r="BN21" i="1"/>
  <c r="BK21" i="1"/>
  <c r="AB20" i="1"/>
  <c r="Y20" i="1"/>
  <c r="BN25" i="1"/>
  <c r="BK25" i="1"/>
  <c r="AU12" i="1"/>
  <c r="AR12" i="1"/>
  <c r="BN19" i="1"/>
  <c r="BK19" i="1"/>
  <c r="BN6" i="1"/>
  <c r="BK6" i="1"/>
  <c r="BN5" i="1"/>
  <c r="BK5" i="1"/>
  <c r="AB30" i="1"/>
  <c r="Y30" i="1"/>
  <c r="BN31" i="1"/>
  <c r="BK31" i="1"/>
  <c r="BN14" i="1"/>
  <c r="BK14" i="1"/>
  <c r="AU28" i="1"/>
  <c r="AR28" i="1"/>
  <c r="BN13" i="1"/>
  <c r="BK13" i="1"/>
  <c r="AU21" i="1"/>
  <c r="AR21" i="1"/>
  <c r="BN20" i="1"/>
  <c r="BK20" i="1"/>
  <c r="BN22" i="1"/>
  <c r="BK22" i="1"/>
  <c r="AU31" i="1"/>
  <c r="AR31" i="1"/>
  <c r="BN17" i="1"/>
  <c r="BK17" i="1"/>
  <c r="BN27" i="1"/>
  <c r="BK27" i="1"/>
  <c r="AU32" i="1"/>
  <c r="AR32" i="1"/>
  <c r="BN30" i="1"/>
  <c r="BK30" i="1"/>
  <c r="BN26" i="1"/>
  <c r="BK26" i="1"/>
  <c r="AU22" i="1"/>
  <c r="AR22" i="1"/>
  <c r="AU15" i="1"/>
  <c r="AR15" i="1"/>
  <c r="AB24" i="1"/>
  <c r="Y24" i="1"/>
  <c r="AU18" i="1"/>
  <c r="AR18" i="1"/>
  <c r="AU6" i="1"/>
  <c r="AR6" i="1"/>
  <c r="AU29" i="1"/>
  <c r="AR29" i="1"/>
  <c r="AB5" i="1"/>
  <c r="Y5" i="1"/>
  <c r="AA25" i="1"/>
  <c r="T25" i="1"/>
  <c r="Z25" i="1"/>
  <c r="Q25" i="1"/>
  <c r="U25" i="1"/>
  <c r="AS20" i="1"/>
  <c r="AT20" i="1"/>
  <c r="AM20" i="1"/>
  <c r="AJ20" i="1"/>
  <c r="AN20" i="1"/>
  <c r="Z18" i="1"/>
  <c r="U18" i="1"/>
  <c r="T18" i="1"/>
  <c r="Q18" i="1"/>
  <c r="AA18" i="1"/>
  <c r="Z5" i="1"/>
  <c r="U5" i="1"/>
  <c r="AA5" i="1"/>
  <c r="Q5" i="1"/>
  <c r="T5" i="1"/>
  <c r="BG28" i="1"/>
  <c r="BL28" i="1"/>
  <c r="BM28" i="1"/>
  <c r="BC28" i="1"/>
  <c r="BF28" i="1"/>
  <c r="AN28" i="1"/>
  <c r="AM28" i="1"/>
  <c r="AS28" i="1"/>
  <c r="AJ28" i="1"/>
  <c r="AT28" i="1"/>
  <c r="BN28" i="1"/>
  <c r="BK28" i="1"/>
  <c r="AB21" i="1"/>
  <c r="Y21" i="1"/>
  <c r="BN32" i="1"/>
  <c r="BK32" i="1"/>
  <c r="AM21" i="1"/>
  <c r="AS21" i="1"/>
  <c r="AT21" i="1"/>
  <c r="AJ21" i="1"/>
  <c r="AN21" i="1"/>
  <c r="AB13" i="1"/>
  <c r="Y13" i="1"/>
  <c r="AB28" i="1"/>
  <c r="Y28" i="1"/>
  <c r="AU17" i="1"/>
  <c r="AR17" i="1"/>
  <c r="AB19" i="1"/>
  <c r="Y19" i="1"/>
  <c r="AU24" i="1"/>
  <c r="AR24" i="1"/>
  <c r="AB25" i="1"/>
  <c r="Y25" i="1"/>
  <c r="U21" i="1"/>
  <c r="T21" i="1"/>
  <c r="Z21" i="1"/>
  <c r="Q21" i="1"/>
  <c r="AA21" i="1"/>
  <c r="AM30" i="1"/>
  <c r="AT30" i="1"/>
  <c r="AS30" i="1"/>
  <c r="AJ30" i="1"/>
  <c r="AN30" i="1"/>
  <c r="BG17" i="1"/>
  <c r="BL17" i="1"/>
  <c r="BM17" i="1"/>
  <c r="BC17" i="1"/>
  <c r="BF17" i="1"/>
  <c r="U15" i="1"/>
  <c r="AA15" i="1"/>
  <c r="T15" i="1"/>
  <c r="Q15" i="1"/>
  <c r="Z15" i="1"/>
  <c r="U27" i="1"/>
  <c r="AA27" i="1"/>
  <c r="T27" i="1"/>
  <c r="Q27" i="1"/>
  <c r="Z27" i="1"/>
  <c r="AM5" i="1"/>
  <c r="AS5" i="1"/>
  <c r="AN5" i="1"/>
  <c r="AJ5" i="1"/>
  <c r="AT5" i="1"/>
  <c r="U19" i="1"/>
  <c r="Z19" i="1"/>
  <c r="T19" i="1"/>
  <c r="Q19" i="1"/>
  <c r="AA19" i="1"/>
  <c r="BL6" i="1"/>
  <c r="BF6" i="1"/>
  <c r="BM6" i="1"/>
  <c r="BC6" i="1"/>
  <c r="BG6" i="1"/>
  <c r="AM26" i="1"/>
  <c r="AN26" i="1"/>
  <c r="AT26" i="1"/>
  <c r="AJ26" i="1"/>
  <c r="AS26" i="1"/>
  <c r="AU30" i="1"/>
  <c r="AR30" i="1"/>
  <c r="AB7" i="1"/>
  <c r="Z7" i="1"/>
  <c r="AU13" i="1"/>
  <c r="AR13" i="1"/>
  <c r="AB17" i="1"/>
  <c r="Y17" i="1"/>
  <c r="BN16" i="1"/>
  <c r="BK16" i="1"/>
  <c r="AU25" i="1"/>
  <c r="AR25" i="1"/>
  <c r="AU27" i="1"/>
  <c r="AR27" i="1"/>
  <c r="AU19" i="1"/>
  <c r="AR19" i="1"/>
  <c r="AB16" i="1"/>
  <c r="Y16" i="1"/>
  <c r="AU5" i="1"/>
  <c r="AR5" i="1"/>
  <c r="AB18" i="1"/>
  <c r="Y18" i="1"/>
  <c r="BN29" i="1"/>
  <c r="BK29" i="1"/>
  <c r="BG30" i="1"/>
  <c r="BM30" i="1"/>
  <c r="BF30" i="1"/>
  <c r="BC30" i="1"/>
  <c r="BL30" i="1"/>
  <c r="AU20" i="1"/>
  <c r="AR20" i="1"/>
  <c r="AB14" i="1"/>
  <c r="Y14" i="1"/>
  <c r="BN24" i="1"/>
  <c r="BK24" i="1"/>
  <c r="U13" i="1"/>
  <c r="AA13" i="1"/>
  <c r="T13" i="1"/>
  <c r="Q13" i="1"/>
  <c r="Z13" i="1"/>
  <c r="AB31" i="1"/>
  <c r="Y31" i="1"/>
  <c r="U14" i="1"/>
  <c r="AA14" i="1"/>
  <c r="Z14" i="1"/>
  <c r="Q14" i="1"/>
  <c r="T14" i="1"/>
  <c r="BM20" i="1"/>
  <c r="BG20" i="1"/>
  <c r="BL20" i="1"/>
  <c r="BC20" i="1"/>
  <c r="BF20" i="1"/>
  <c r="BG32" i="1"/>
  <c r="BF32" i="1"/>
  <c r="BM32" i="1"/>
  <c r="BC32" i="1"/>
  <c r="BL32" i="1"/>
  <c r="T32" i="1"/>
  <c r="Z32" i="1"/>
  <c r="AA32" i="1"/>
  <c r="Q32" i="1"/>
  <c r="U32" i="1"/>
  <c r="BG25" i="1"/>
  <c r="BF25" i="1"/>
  <c r="BL25" i="1"/>
  <c r="BC25" i="1"/>
  <c r="BM25" i="1"/>
  <c r="AM6" i="1"/>
  <c r="AN6" i="1"/>
  <c r="AS6" i="1"/>
  <c r="AJ6" i="1"/>
  <c r="AT6" i="1"/>
  <c r="AM22" i="1"/>
  <c r="AS22" i="1"/>
  <c r="AN22" i="1"/>
  <c r="AJ22" i="1"/>
  <c r="AT22" i="1"/>
  <c r="AT14" i="1"/>
  <c r="AN14" i="1"/>
  <c r="AS14" i="1"/>
  <c r="AJ14" i="1"/>
  <c r="AM14" i="1"/>
  <c r="AN29" i="1"/>
  <c r="AM29" i="1"/>
  <c r="AT29" i="1"/>
  <c r="AJ29" i="1"/>
  <c r="AS29" i="1"/>
  <c r="AB23" i="1"/>
  <c r="Y23" i="1"/>
  <c r="T7" i="1"/>
  <c r="U7" i="1"/>
  <c r="Q7" i="1"/>
  <c r="AA7" i="1"/>
  <c r="AT15" i="1"/>
  <c r="AM15" i="1"/>
  <c r="AN15" i="1"/>
  <c r="AJ15" i="1"/>
  <c r="AS15" i="1"/>
  <c r="AT13" i="1"/>
  <c r="AM13" i="1"/>
  <c r="AS13" i="1"/>
  <c r="AJ13" i="1"/>
  <c r="AN13" i="1"/>
  <c r="BL15" i="1"/>
  <c r="BG15" i="1"/>
  <c r="BM15" i="1"/>
  <c r="BC15" i="1"/>
  <c r="BF15" i="1"/>
  <c r="AU23" i="1"/>
  <c r="AR23" i="1"/>
  <c r="AS24" i="1"/>
  <c r="AT24" i="1"/>
  <c r="AM24" i="1"/>
  <c r="AJ24" i="1"/>
  <c r="AN24" i="1"/>
  <c r="AB22" i="1"/>
  <c r="Y22" i="1"/>
  <c r="BN23" i="1"/>
  <c r="BK23" i="1"/>
  <c r="AM27" i="1"/>
  <c r="AT27" i="1"/>
  <c r="AS27" i="1"/>
  <c r="AJ27" i="1"/>
  <c r="AN27" i="1"/>
  <c r="T24" i="1"/>
  <c r="Z24" i="1"/>
  <c r="AA24" i="1"/>
  <c r="Q24" i="1"/>
  <c r="U24" i="1"/>
  <c r="BG27" i="1"/>
  <c r="BL27" i="1"/>
  <c r="BC27" i="1"/>
  <c r="BF27" i="1"/>
  <c r="AS12" i="1"/>
  <c r="AT12" i="1"/>
  <c r="AN12" i="1"/>
  <c r="AJ12" i="1"/>
  <c r="AM12" i="1"/>
  <c r="AB26" i="1"/>
  <c r="Y26" i="1"/>
  <c r="AU4" i="1"/>
  <c r="BM7" i="1"/>
  <c r="BG7" i="1"/>
  <c r="BF7" i="1"/>
  <c r="BG24" i="1"/>
  <c r="BF24" i="1"/>
  <c r="BL24" i="1"/>
  <c r="BC24" i="1"/>
  <c r="BM24" i="1"/>
  <c r="BG16" i="1"/>
  <c r="BF16" i="1"/>
  <c r="BL16" i="1"/>
  <c r="BC16" i="1"/>
  <c r="BM16" i="1"/>
  <c r="BG14" i="1"/>
  <c r="BF14" i="1"/>
  <c r="BL14" i="1"/>
  <c r="BC14" i="1"/>
  <c r="BM14" i="1"/>
  <c r="BF18" i="1"/>
  <c r="BL18" i="1"/>
  <c r="BM18" i="1"/>
  <c r="BC18" i="1"/>
  <c r="BG18" i="1"/>
  <c r="BM22" i="1"/>
  <c r="BG22" i="1"/>
  <c r="BF22" i="1"/>
  <c r="BC22" i="1"/>
  <c r="BL22" i="1"/>
  <c r="BF23" i="1"/>
  <c r="BL23" i="1"/>
  <c r="BG23" i="1"/>
  <c r="BC23" i="1"/>
  <c r="BM23" i="1"/>
  <c r="BG21" i="1"/>
  <c r="BF21" i="1"/>
  <c r="BL21" i="1"/>
  <c r="BC21" i="1"/>
  <c r="BM21" i="1"/>
  <c r="T28" i="1"/>
  <c r="Z28" i="1"/>
  <c r="U28" i="1"/>
  <c r="Q28" i="1"/>
  <c r="AA28" i="1"/>
  <c r="AM32" i="1"/>
  <c r="AT32" i="1"/>
  <c r="AN32" i="1"/>
  <c r="AJ32" i="1"/>
  <c r="AS32" i="1"/>
  <c r="AS19" i="1"/>
  <c r="AT19" i="1"/>
  <c r="AN19" i="1"/>
  <c r="AJ19" i="1"/>
  <c r="AM19" i="1"/>
  <c r="BM12" i="1"/>
  <c r="BF12" i="1"/>
  <c r="BG12" i="1"/>
  <c r="BC12" i="1"/>
  <c r="BL12" i="1"/>
  <c r="AA29" i="1"/>
  <c r="U29" i="1"/>
  <c r="T29" i="1"/>
  <c r="Q29" i="1"/>
  <c r="Z29" i="1"/>
  <c r="BF19" i="1"/>
  <c r="BL19" i="1"/>
  <c r="BM19" i="1"/>
  <c r="BC19" i="1"/>
  <c r="BG19" i="1"/>
  <c r="BM5" i="1"/>
  <c r="BG5" i="1"/>
  <c r="BF5" i="1"/>
  <c r="BC5" i="1"/>
  <c r="BL5" i="1"/>
  <c r="BF4" i="1"/>
  <c r="BG4" i="1"/>
  <c r="BM4" i="1"/>
  <c r="BM29" i="1"/>
  <c r="BL29" i="1"/>
  <c r="BF29" i="1"/>
  <c r="BC29" i="1"/>
  <c r="BG29" i="1"/>
  <c r="AT23" i="1"/>
  <c r="AN23" i="1"/>
  <c r="AM23" i="1"/>
  <c r="AJ23" i="1"/>
  <c r="AS23" i="1"/>
  <c r="T20" i="1"/>
  <c r="Z20" i="1"/>
  <c r="U20" i="1"/>
  <c r="Q20" i="1"/>
  <c r="AA20" i="1"/>
  <c r="BM13" i="1"/>
  <c r="BG13" i="1"/>
  <c r="BL13" i="1"/>
  <c r="BC13" i="1"/>
  <c r="BF13" i="1"/>
  <c r="AN7" i="1"/>
  <c r="AM7" i="1"/>
  <c r="AT7" i="1"/>
  <c r="AA16" i="1"/>
  <c r="Z16" i="1"/>
  <c r="U16" i="1"/>
  <c r="Q16" i="1"/>
  <c r="T16" i="1"/>
  <c r="AN17" i="1"/>
  <c r="AS17" i="1"/>
  <c r="AT17" i="1"/>
  <c r="AJ17" i="1"/>
  <c r="AM17" i="1"/>
  <c r="AS25" i="1"/>
  <c r="AN25" i="1"/>
  <c r="AT25" i="1"/>
  <c r="AJ25" i="1"/>
  <c r="AM25" i="1"/>
  <c r="Z31" i="1"/>
  <c r="U31" i="1"/>
  <c r="T31" i="1"/>
  <c r="Q31" i="1"/>
  <c r="AA31" i="1"/>
  <c r="AM18" i="1"/>
  <c r="AN18" i="1"/>
  <c r="AT18" i="1"/>
  <c r="AJ18" i="1"/>
  <c r="AS18" i="1"/>
  <c r="AA26" i="1"/>
  <c r="T26" i="1"/>
  <c r="U26" i="1"/>
  <c r="Q26" i="1"/>
  <c r="Z26" i="1"/>
  <c r="AA23" i="1"/>
  <c r="T23" i="1"/>
  <c r="Z23" i="1"/>
  <c r="Q23" i="1"/>
  <c r="U23" i="1"/>
  <c r="U4" i="1"/>
  <c r="T4" i="1"/>
  <c r="Z4" i="1"/>
  <c r="AA4" i="1"/>
  <c r="AA17" i="1"/>
  <c r="T17" i="1"/>
  <c r="Z17" i="1"/>
  <c r="Q17" i="1"/>
  <c r="U17" i="1"/>
  <c r="T6" i="1"/>
  <c r="AA6" i="1"/>
  <c r="U6" i="1"/>
  <c r="Q6" i="1"/>
  <c r="Z6" i="1"/>
  <c r="U22" i="1"/>
  <c r="Z22" i="1"/>
  <c r="AA22" i="1"/>
  <c r="Q22" i="1"/>
  <c r="T22" i="1"/>
  <c r="T30" i="1"/>
  <c r="Z30" i="1"/>
  <c r="AA30" i="1"/>
  <c r="Q30" i="1"/>
  <c r="U30" i="1"/>
  <c r="AA12" i="1"/>
  <c r="T12" i="1"/>
  <c r="Z12" i="1"/>
  <c r="Q4" i="1"/>
  <c r="Q12" i="1"/>
  <c r="U12" i="1"/>
  <c r="AS4" i="1"/>
  <c r="AT4" i="1"/>
  <c r="AN4" i="1"/>
  <c r="AM4" i="1"/>
  <c r="BG26" i="1"/>
  <c r="BF26" i="1"/>
  <c r="BM26" i="1"/>
  <c r="BC26" i="1"/>
  <c r="BL26" i="1"/>
  <c r="BK4" i="1"/>
  <c r="BN4" i="1"/>
  <c r="AS31" i="1"/>
  <c r="AM31" i="1"/>
  <c r="AT31" i="1"/>
  <c r="AJ31" i="1"/>
  <c r="AN31" i="1"/>
  <c r="AB4" i="1"/>
  <c r="AT16" i="1"/>
  <c r="AM16" i="1"/>
  <c r="AN16" i="1"/>
  <c r="AJ16" i="1"/>
  <c r="AS16" i="1"/>
  <c r="BF31" i="1"/>
  <c r="BM31" i="1"/>
  <c r="BG31" i="1"/>
  <c r="BC31" i="1"/>
  <c r="BL31" i="1"/>
  <c r="Y29" i="1"/>
  <c r="AB29" i="1"/>
  <c r="Y32" i="1"/>
  <c r="AB32" i="1"/>
  <c r="BL4" i="1"/>
  <c r="AZ27" i="1"/>
  <c r="BM27" i="1"/>
  <c r="BD4" i="1"/>
  <c r="BC4" i="1"/>
  <c r="BC7" i="1"/>
  <c r="BL7" i="1"/>
  <c r="BN7" i="1"/>
  <c r="AR16" i="1"/>
  <c r="AU16" i="1"/>
  <c r="Y6" i="1"/>
  <c r="AB6" i="1"/>
  <c r="AJ4" i="1"/>
  <c r="AJ7" i="1"/>
  <c r="AS7" i="1"/>
  <c r="AU7" i="1"/>
  <c r="AR26" i="1"/>
  <c r="AU26" i="1"/>
  <c r="Y15" i="1"/>
  <c r="AB15" i="1"/>
  <c r="R4" i="1"/>
  <c r="Y4" i="1"/>
  <c r="Y12" i="1"/>
  <c r="AB12" i="1"/>
  <c r="AK4" i="1"/>
  <c r="AR4" i="1"/>
  <c r="AR14" i="1"/>
  <c r="AU14" i="1"/>
</calcChain>
</file>

<file path=xl/sharedStrings.xml><?xml version="1.0" encoding="utf-8"?>
<sst xmlns="http://schemas.openxmlformats.org/spreadsheetml/2006/main" count="564" uniqueCount="104">
  <si>
    <t>Grouping</t>
  </si>
  <si>
    <t>Project</t>
  </si>
  <si>
    <t>Project description</t>
  </si>
  <si>
    <t>Cost Element</t>
  </si>
  <si>
    <t>Cost Elem. Descr.</t>
  </si>
  <si>
    <t>Cost grouping</t>
  </si>
  <si>
    <t>Period 07/2026</t>
  </si>
  <si>
    <t>2025</t>
  </si>
  <si>
    <t>Base cost elements</t>
  </si>
  <si>
    <t>MFG Fringe</t>
  </si>
  <si>
    <t>MFG OH</t>
  </si>
  <si>
    <t>ENG Fringe</t>
  </si>
  <si>
    <t>ENG OH</t>
  </si>
  <si>
    <t>MTL Fringe</t>
  </si>
  <si>
    <t>Material Handling (MTL)</t>
  </si>
  <si>
    <t>Miscellaneous Material Pool (MMP)</t>
  </si>
  <si>
    <t>General Services (GS)</t>
  </si>
  <si>
    <t>GS Fringe</t>
  </si>
  <si>
    <t>MSV Fringe</t>
  </si>
  <si>
    <t>General &amp; Administrative (GA)</t>
  </si>
  <si>
    <t>Corporate Flowdowns (FD)</t>
  </si>
  <si>
    <t>FCCOM MFG</t>
  </si>
  <si>
    <t>FCCOM ENG</t>
  </si>
  <si>
    <t>FCCOM MTL</t>
  </si>
  <si>
    <t>FCCOM GS</t>
  </si>
  <si>
    <t>FCCOM G&amp;A</t>
  </si>
  <si>
    <t>TOTAL COST 07/2026</t>
  </si>
  <si>
    <t>TOTAL FCCOM 07/2026</t>
  </si>
  <si>
    <t>TOTAL COST 2026</t>
  </si>
  <si>
    <t>TOTAL FCCOM 2026</t>
  </si>
  <si>
    <t>TOTAL COST 2025</t>
  </si>
  <si>
    <t>TOTAL FCCOM 2025</t>
  </si>
  <si>
    <t>SWBS 0125 Jordan</t>
  </si>
  <si>
    <t>4D05QG</t>
  </si>
  <si>
    <t>0125 XE-5 Jordan</t>
  </si>
  <si>
    <t>0096606550</t>
  </si>
  <si>
    <t>PZL Gen Svcs labor</t>
  </si>
  <si>
    <t>Finance, HR, Shipping Labor</t>
  </si>
  <si>
    <t>0051105550</t>
  </si>
  <si>
    <t>PZL Mat Consump</t>
  </si>
  <si>
    <t>Direct Materials</t>
  </si>
  <si>
    <t>0051110550</t>
  </si>
  <si>
    <t>PZL Oth Dir Serv ODS</t>
  </si>
  <si>
    <t>Direct Services</t>
  </si>
  <si>
    <t>0057120550</t>
  </si>
  <si>
    <t>PZL Travel</t>
  </si>
  <si>
    <t>Travel costs</t>
  </si>
  <si>
    <t>0057510550</t>
  </si>
  <si>
    <t>PZL Other Direct Cost</t>
  </si>
  <si>
    <t>Other Direct Cost</t>
  </si>
  <si>
    <t>0057511550</t>
  </si>
  <si>
    <t>PZL ODC  NVA</t>
  </si>
  <si>
    <t>0057712550</t>
  </si>
  <si>
    <t>PZL Direct MTS BFM</t>
  </si>
  <si>
    <t>0057714550</t>
  </si>
  <si>
    <t>PZL Dir Packaging NV</t>
  </si>
  <si>
    <t>0092210550</t>
  </si>
  <si>
    <t>PZL Quality Control</t>
  </si>
  <si>
    <t>Manufacturing and QA labor</t>
  </si>
  <si>
    <t>0092211550</t>
  </si>
  <si>
    <t>PZL Pain Spec Proc</t>
  </si>
  <si>
    <t>0092212550</t>
  </si>
  <si>
    <t>PZL Machining (W30)</t>
  </si>
  <si>
    <t>0092213550</t>
  </si>
  <si>
    <t>PZL Sheet metl W40</t>
  </si>
  <si>
    <t>0092214550</t>
  </si>
  <si>
    <t>PZL Sub assem W51</t>
  </si>
  <si>
    <t>0092215550</t>
  </si>
  <si>
    <t>PZL Sub assem W52</t>
  </si>
  <si>
    <t>0092216550</t>
  </si>
  <si>
    <t>PZL Fnl assem W53</t>
  </si>
  <si>
    <t>0092217550</t>
  </si>
  <si>
    <t>PZL Hangar Ops W60</t>
  </si>
  <si>
    <t>0092218550</t>
  </si>
  <si>
    <t>PZL Svc ctr W70 DUS</t>
  </si>
  <si>
    <t>0092219550</t>
  </si>
  <si>
    <t>Tooling</t>
  </si>
  <si>
    <t>0092223550</t>
  </si>
  <si>
    <t>PZL LM Aero Coop W54</t>
  </si>
  <si>
    <t>0094410550</t>
  </si>
  <si>
    <t>PZL Des Eng/Proc Eng</t>
  </si>
  <si>
    <t>Engineering labor</t>
  </si>
  <si>
    <t>0094414550</t>
  </si>
  <si>
    <t>PZL Des Industrial E</t>
  </si>
  <si>
    <t>0094412550</t>
  </si>
  <si>
    <t>PZL Programs</t>
  </si>
  <si>
    <t>Programs labor</t>
  </si>
  <si>
    <t>0094490550</t>
  </si>
  <si>
    <t>PZL LL Des Eng/Proc</t>
  </si>
  <si>
    <t>0096610550</t>
  </si>
  <si>
    <t>PZL Procurement</t>
  </si>
  <si>
    <t>Procurement Labor</t>
  </si>
  <si>
    <t>9221X550</t>
  </si>
  <si>
    <t>PZL MFG Indirect</t>
  </si>
  <si>
    <t>9222X550</t>
  </si>
  <si>
    <t>PZL Quality Indirect</t>
  </si>
  <si>
    <t>9229X550</t>
  </si>
  <si>
    <t>LL Mfg Indirect</t>
  </si>
  <si>
    <t>9441X550</t>
  </si>
  <si>
    <t>PZL ENG Indirect</t>
  </si>
  <si>
    <t>9660R550</t>
  </si>
  <si>
    <t>PZL Mfg Svcs labor</t>
  </si>
  <si>
    <t>Central Planning, Transportation labor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</si>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</sst>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b/>
      <u/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43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43" fontId="3" fillId="0" borderId="0" xfId="1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6" fillId="0" borderId="0" xfId="1" applyNumberFormat="1" applyFont="1" applyBorder="1" applyAlignment="1">
      <alignment horizontal="center" wrapText="1"/>
    </xf>
    <xf numFmtId="0" fontId="6" fillId="0" borderId="0" xfId="1" applyNumberFormat="1" applyFont="1" applyBorder="1" applyAlignment="1">
      <alignment horizontal="center" wrapText="1"/>
    </xf>
    <xf numFmtId="0" fontId="6" fillId="3" borderId="0" xfId="0" quotePrefix="1" applyFont="1" applyFill="1" applyAlignment="1">
      <alignment horizontal="center" wrapText="1"/>
    </xf>
    <xf numFmtId="49" fontId="6" fillId="3" borderId="0" xfId="0" quotePrefix="1" applyNumberFormat="1" applyFont="1" applyFill="1" applyAlignment="1">
      <alignment horizont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0" fontId="5" fillId="3" borderId="3" xfId="2" applyNumberFormat="1" applyFont="1" applyFill="1" applyBorder="1" applyAlignment="1">
      <alignment horizontal="center" vertical="center" wrapText="1"/>
    </xf>
    <xf numFmtId="164" fontId="5" fillId="4" borderId="4" xfId="1" quotePrefix="1" applyNumberFormat="1" applyFont="1" applyFill="1" applyBorder="1" applyAlignment="1">
      <alignment horizontal="center" vertical="center"/>
    </xf>
    <xf numFmtId="0" fontId="5" fillId="4" borderId="4" xfId="1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8" fillId="0" borderId="0" xfId="0" applyFont="1"/>
    <xf numFmtId="43" fontId="8" fillId="0" borderId="0" xfId="1" applyFont="1" applyFill="1"/>
    <xf numFmtId="49" fontId="8" fillId="0" borderId="0" xfId="1" applyNumberFormat="1" applyFont="1" applyFill="1"/>
    <xf numFmtId="49" fontId="8" fillId="0" borderId="0" xfId="0" applyNumberFormat="1" applyFont="1"/>
    <xf numFmtId="43" fontId="8" fillId="0" borderId="0" xfId="3" applyFont="1" applyFill="1" applyBorder="1"/>
    <xf numFmtId="43" fontId="8" fillId="0" borderId="0" xfId="4" applyFont="1" applyFill="1"/>
    <xf numFmtId="0" fontId="8" fillId="0" borderId="0" xfId="5" applyFont="1"/>
    <xf numFmtId="0" fontId="9" fillId="0" borderId="0" xfId="0" applyFont="1"/>
    <xf numFmtId="49" fontId="9" fillId="0" borderId="0" xfId="0" applyNumberFormat="1" applyFont="1"/>
    <xf numFmtId="164" fontId="8" fillId="0" borderId="8" xfId="3" applyNumberFormat="1" applyFont="1" applyFill="1" applyBorder="1"/>
    <xf numFmtId="43" fontId="8" fillId="2" borderId="0" xfId="3" applyFont="1" applyFill="1" applyBorder="1"/>
    <xf numFmtId="43" fontId="8" fillId="5" borderId="0" xfId="3" applyFont="1" applyFill="1" applyBorder="1"/>
    <xf numFmtId="164" fontId="9" fillId="0" borderId="8" xfId="3" applyNumberFormat="1" applyFont="1" applyFill="1" applyBorder="1"/>
    <xf numFmtId="43" fontId="9" fillId="0" borderId="0" xfId="3" applyFont="1" applyFill="1" applyBorder="1"/>
    <xf numFmtId="43" fontId="9" fillId="2" borderId="0" xfId="3" applyFont="1" applyFill="1" applyBorder="1"/>
    <xf numFmtId="43" fontId="9" fillId="5" borderId="0" xfId="3" applyFont="1" applyFill="1" applyBorder="1"/>
    <xf numFmtId="43" fontId="3" fillId="0" borderId="0" xfId="3" applyFont="1"/>
    <xf numFmtId="164" fontId="6" fillId="0" borderId="0" xfId="3" applyNumberFormat="1" applyFont="1" applyBorder="1" applyAlignment="1">
      <alignment horizontal="center" wrapText="1"/>
    </xf>
    <xf numFmtId="0" fontId="6" fillId="0" borderId="0" xfId="3" applyNumberFormat="1" applyFont="1" applyBorder="1" applyAlignment="1">
      <alignment horizontal="center" wrapText="1"/>
    </xf>
    <xf numFmtId="164" fontId="7" fillId="4" borderId="2" xfId="3" applyNumberFormat="1" applyFont="1" applyFill="1" applyBorder="1" applyAlignment="1">
      <alignment horizontal="center" vertical="center" wrapText="1"/>
    </xf>
    <xf numFmtId="164" fontId="5" fillId="4" borderId="4" xfId="3" quotePrefix="1" applyNumberFormat="1" applyFont="1" applyFill="1" applyBorder="1" applyAlignment="1">
      <alignment horizontal="center" vertical="center"/>
    </xf>
    <xf numFmtId="0" fontId="5" fillId="4" borderId="4" xfId="3" applyNumberFormat="1" applyFont="1" applyFill="1" applyBorder="1" applyAlignment="1">
      <alignment horizontal="center" vertical="center"/>
    </xf>
    <xf numFmtId="43" fontId="8" fillId="0" borderId="0" xfId="3" applyFont="1" applyFill="1"/>
    <xf numFmtId="49" fontId="8" fillId="0" borderId="0" xfId="3" applyNumberFormat="1" applyFont="1" applyFill="1"/>
  </cellXfs>
  <cellStyles count="6">
    <cellStyle name="Dziesiętny" xfId="1" builtinId="3"/>
    <cellStyle name="Dziesiętny 2 4" xfId="3" xr:uid="{39951F32-018E-4A20-B795-C2ED6037570A}"/>
    <cellStyle name="Dziesiętny 7" xfId="4" xr:uid="{52E5FA64-B739-4AF7-ADE3-96338B1CF1FC}"/>
    <cellStyle name="Normalny" xfId="0" builtinId="0"/>
    <cellStyle name="Normalny 2" xfId="5" xr:uid="{09730BA0-C1FC-4576-B24E-6977276F51F2}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5419-DA3F-4374-8FBA-C5E199A9540D}">
  <dimension ref="A1:BN32"/>
  <sheetViews>
    <sheetView workbookViewId="0">
      <selection activeCell="J12" sqref="J12"/>
    </sheetView>
  </sheetViews>
  <sheetFormatPr defaultRowHeight="13.8" x14ac:dyDescent="0.3"/>
  <sheetData>
    <row r="1" spans="1:66" ht="29.4" thickBot="1" x14ac:dyDescent="0.35">
      <c r="A1" s="1"/>
      <c r="B1" s="1"/>
      <c r="C1" s="1"/>
      <c r="D1" s="1"/>
      <c r="E1" s="2"/>
      <c r="F1" s="3"/>
      <c r="G1" s="6" t="s">
        <v>6</v>
      </c>
      <c r="H1" s="7">
        <v>2026</v>
      </c>
      <c r="I1" s="7" t="s">
        <v>7</v>
      </c>
      <c r="J1" s="8" t="s">
        <v>6</v>
      </c>
      <c r="K1" s="8" t="s">
        <v>6</v>
      </c>
      <c r="L1" s="8" t="s">
        <v>6</v>
      </c>
      <c r="M1" s="8" t="s">
        <v>6</v>
      </c>
      <c r="N1" s="8" t="s">
        <v>6</v>
      </c>
      <c r="O1" s="8" t="s">
        <v>6</v>
      </c>
      <c r="P1" s="8" t="s">
        <v>6</v>
      </c>
      <c r="Q1" s="8" t="s">
        <v>6</v>
      </c>
      <c r="R1" s="8" t="s">
        <v>6</v>
      </c>
      <c r="S1" s="8" t="s">
        <v>6</v>
      </c>
      <c r="T1" s="8" t="s">
        <v>6</v>
      </c>
      <c r="U1" s="8" t="s">
        <v>6</v>
      </c>
      <c r="V1" s="8" t="s">
        <v>6</v>
      </c>
      <c r="W1" s="8" t="s">
        <v>6</v>
      </c>
      <c r="X1" s="8" t="s">
        <v>6</v>
      </c>
      <c r="Y1" s="8" t="s">
        <v>6</v>
      </c>
      <c r="Z1" s="8" t="s">
        <v>6</v>
      </c>
      <c r="AA1" s="8" t="s">
        <v>6</v>
      </c>
      <c r="AB1" s="8" t="s">
        <v>6</v>
      </c>
      <c r="AC1" s="8">
        <v>2026</v>
      </c>
      <c r="AD1" s="8">
        <v>2026</v>
      </c>
      <c r="AE1" s="8">
        <v>2026</v>
      </c>
      <c r="AF1" s="8">
        <v>2026</v>
      </c>
      <c r="AG1" s="8">
        <v>2026</v>
      </c>
      <c r="AH1" s="8">
        <v>2026</v>
      </c>
      <c r="AI1" s="8">
        <v>2026</v>
      </c>
      <c r="AJ1" s="8">
        <v>2026</v>
      </c>
      <c r="AK1" s="8">
        <v>2026</v>
      </c>
      <c r="AL1" s="8">
        <v>2026</v>
      </c>
      <c r="AM1" s="8">
        <v>2026</v>
      </c>
      <c r="AN1" s="8">
        <v>2026</v>
      </c>
      <c r="AO1" s="8">
        <v>2026</v>
      </c>
      <c r="AP1" s="8">
        <v>2026</v>
      </c>
      <c r="AQ1" s="8">
        <v>2026</v>
      </c>
      <c r="AR1" s="8">
        <v>2026</v>
      </c>
      <c r="AS1" s="8">
        <v>2026</v>
      </c>
      <c r="AT1" s="8">
        <v>2026</v>
      </c>
      <c r="AU1" s="8">
        <v>2026</v>
      </c>
      <c r="AV1" s="9" t="s">
        <v>7</v>
      </c>
      <c r="AW1" s="9" t="s">
        <v>7</v>
      </c>
      <c r="AX1" s="9" t="s">
        <v>7</v>
      </c>
      <c r="AY1" s="9" t="s">
        <v>7</v>
      </c>
      <c r="AZ1" s="9" t="s">
        <v>7</v>
      </c>
      <c r="BA1" s="9" t="s">
        <v>7</v>
      </c>
      <c r="BB1" s="9" t="s">
        <v>7</v>
      </c>
      <c r="BC1" s="9" t="s">
        <v>7</v>
      </c>
      <c r="BD1" s="9" t="s">
        <v>7</v>
      </c>
      <c r="BE1" s="9" t="s">
        <v>7</v>
      </c>
      <c r="BF1" s="9" t="s">
        <v>7</v>
      </c>
      <c r="BG1" s="9" t="s">
        <v>7</v>
      </c>
      <c r="BH1" s="9" t="s">
        <v>7</v>
      </c>
      <c r="BI1" s="9" t="s">
        <v>7</v>
      </c>
      <c r="BJ1" s="9" t="s">
        <v>7</v>
      </c>
      <c r="BK1" s="9" t="s">
        <v>7</v>
      </c>
      <c r="BL1" s="9" t="s">
        <v>7</v>
      </c>
      <c r="BM1" s="9" t="s">
        <v>7</v>
      </c>
      <c r="BN1" s="9" t="s">
        <v>7</v>
      </c>
    </row>
    <row r="2" spans="1:66" ht="43.8" thickBot="1" x14ac:dyDescent="0.35">
      <c r="G2" s="10" t="s">
        <v>8</v>
      </c>
      <c r="H2" s="10" t="s">
        <v>8</v>
      </c>
      <c r="I2" s="10" t="s">
        <v>8</v>
      </c>
      <c r="J2" s="11">
        <v>0.86556117367442564</v>
      </c>
      <c r="K2" s="11">
        <v>2.2417650653677073</v>
      </c>
      <c r="L2" s="11">
        <v>0.71079704659316123</v>
      </c>
      <c r="M2" s="11">
        <v>0.93828564830216188</v>
      </c>
      <c r="N2" s="11">
        <v>0.40567632310669394</v>
      </c>
      <c r="O2" s="11">
        <v>3.5011066852654725E-2</v>
      </c>
      <c r="P2" s="11">
        <v>9.023445082424221E-2</v>
      </c>
      <c r="Q2" s="11">
        <v>0.11904968858856187</v>
      </c>
      <c r="R2" s="11">
        <v>0.44969073886593419</v>
      </c>
      <c r="S2" s="11">
        <v>0.39801135785774616</v>
      </c>
      <c r="T2" s="11">
        <v>8.9979855184088339E-2</v>
      </c>
      <c r="U2" s="11">
        <v>0.30688606865422641</v>
      </c>
      <c r="V2" s="11">
        <v>5.3686114274301908E-2</v>
      </c>
      <c r="W2" s="11">
        <v>1.0136856259291433E-2</v>
      </c>
      <c r="X2" s="11">
        <v>1.260976184139452E-4</v>
      </c>
      <c r="Y2" s="11">
        <v>6.714278154298874E-4</v>
      </c>
      <c r="Z2" s="11">
        <v>5.7456819309836995E-5</v>
      </c>
      <c r="AA2" s="11"/>
      <c r="AB2" s="11"/>
      <c r="AC2" s="11">
        <v>0.86556117367442564</v>
      </c>
      <c r="AD2" s="11">
        <v>2.2417650653677073</v>
      </c>
      <c r="AE2" s="11">
        <v>0.71079704659316123</v>
      </c>
      <c r="AF2" s="11">
        <v>0.93828564830216188</v>
      </c>
      <c r="AG2" s="11">
        <v>0.40567632310669394</v>
      </c>
      <c r="AH2" s="11">
        <v>3.5011066852654725E-2</v>
      </c>
      <c r="AI2" s="11">
        <v>9.023445082424221E-2</v>
      </c>
      <c r="AJ2" s="11">
        <v>0.11904968858856187</v>
      </c>
      <c r="AK2" s="11">
        <v>0.44969073886593419</v>
      </c>
      <c r="AL2" s="11">
        <v>0.39801135785774616</v>
      </c>
      <c r="AM2" s="11">
        <v>8.9979855184088339E-2</v>
      </c>
      <c r="AN2" s="11">
        <v>0.30688606865422641</v>
      </c>
      <c r="AO2" s="11">
        <v>5.3686114274301908E-2</v>
      </c>
      <c r="AP2" s="11">
        <v>1.0136856259291433E-2</v>
      </c>
      <c r="AQ2" s="11">
        <v>1.260976184139452E-4</v>
      </c>
      <c r="AR2" s="11">
        <v>6.714278154298874E-4</v>
      </c>
      <c r="AS2" s="11">
        <v>5.7456819309836995E-5</v>
      </c>
      <c r="AT2" s="11"/>
      <c r="AU2" s="11"/>
      <c r="AV2" s="11">
        <v>1.0623315957023503</v>
      </c>
      <c r="AW2" s="11">
        <v>1.7615025167438414</v>
      </c>
      <c r="AX2" s="11">
        <v>0.73750329602933451</v>
      </c>
      <c r="AY2" s="11">
        <v>1.0533191814474849</v>
      </c>
      <c r="AZ2" s="11">
        <v>0.43085323643604212</v>
      </c>
      <c r="BA2" s="11">
        <v>1.7878463405457418E-2</v>
      </c>
      <c r="BB2" s="11">
        <v>4.6354895502141669E-2</v>
      </c>
      <c r="BC2" s="11">
        <v>0.13271147228823499</v>
      </c>
      <c r="BD2" s="11">
        <v>0.40761906071391346</v>
      </c>
      <c r="BE2" s="11">
        <v>0.47315900882631617</v>
      </c>
      <c r="BF2" s="11">
        <v>7.4496895982495925E-2</v>
      </c>
      <c r="BG2" s="11">
        <v>0.31587553013564579</v>
      </c>
      <c r="BH2" s="11">
        <v>5.7471730092858143E-2</v>
      </c>
      <c r="BI2" s="11">
        <v>9.1295956205210346E-3</v>
      </c>
      <c r="BJ2" s="11">
        <v>7.7982802276049874E-5</v>
      </c>
      <c r="BK2" s="11">
        <v>9.1743036933389149E-4</v>
      </c>
      <c r="BL2" s="11">
        <v>6.1445824132944118E-5</v>
      </c>
      <c r="BM2" s="11"/>
      <c r="BN2" s="11"/>
    </row>
    <row r="3" spans="1:66" ht="72.599999999999994" thickBot="1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12" t="s">
        <v>6</v>
      </c>
      <c r="H3" s="13">
        <v>2026</v>
      </c>
      <c r="I3" s="13" t="s">
        <v>7</v>
      </c>
      <c r="J3" s="14" t="s">
        <v>9</v>
      </c>
      <c r="K3" s="15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6" t="s">
        <v>21</v>
      </c>
      <c r="W3" s="16" t="s">
        <v>22</v>
      </c>
      <c r="X3" s="16" t="s">
        <v>23</v>
      </c>
      <c r="Y3" s="16" t="s">
        <v>24</v>
      </c>
      <c r="Z3" s="16" t="s">
        <v>25</v>
      </c>
      <c r="AA3" s="17" t="s">
        <v>26</v>
      </c>
      <c r="AB3" s="18" t="s">
        <v>27</v>
      </c>
      <c r="AC3" s="14" t="s">
        <v>9</v>
      </c>
      <c r="AD3" s="15" t="s">
        <v>10</v>
      </c>
      <c r="AE3" s="14" t="s">
        <v>11</v>
      </c>
      <c r="AF3" s="14" t="s">
        <v>12</v>
      </c>
      <c r="AG3" s="14" t="s">
        <v>13</v>
      </c>
      <c r="AH3" s="14" t="s">
        <v>14</v>
      </c>
      <c r="AI3" s="14" t="s">
        <v>15</v>
      </c>
      <c r="AJ3" s="14" t="s">
        <v>16</v>
      </c>
      <c r="AK3" s="14" t="s">
        <v>17</v>
      </c>
      <c r="AL3" s="14" t="s">
        <v>18</v>
      </c>
      <c r="AM3" s="14" t="s">
        <v>19</v>
      </c>
      <c r="AN3" s="14" t="s">
        <v>20</v>
      </c>
      <c r="AO3" s="16" t="s">
        <v>21</v>
      </c>
      <c r="AP3" s="16" t="s">
        <v>22</v>
      </c>
      <c r="AQ3" s="16" t="s">
        <v>23</v>
      </c>
      <c r="AR3" s="16" t="s">
        <v>24</v>
      </c>
      <c r="AS3" s="16" t="s">
        <v>25</v>
      </c>
      <c r="AT3" s="17" t="s">
        <v>28</v>
      </c>
      <c r="AU3" s="18" t="s">
        <v>29</v>
      </c>
      <c r="AV3" s="14" t="s">
        <v>9</v>
      </c>
      <c r="AW3" s="15" t="s">
        <v>10</v>
      </c>
      <c r="AX3" s="14" t="s">
        <v>11</v>
      </c>
      <c r="AY3" s="14" t="s">
        <v>12</v>
      </c>
      <c r="AZ3" s="14" t="s">
        <v>13</v>
      </c>
      <c r="BA3" s="14" t="s">
        <v>14</v>
      </c>
      <c r="BB3" s="14" t="s">
        <v>15</v>
      </c>
      <c r="BC3" s="14" t="s">
        <v>16</v>
      </c>
      <c r="BD3" s="14" t="s">
        <v>17</v>
      </c>
      <c r="BE3" s="14" t="s">
        <v>18</v>
      </c>
      <c r="BF3" s="14" t="s">
        <v>19</v>
      </c>
      <c r="BG3" s="14" t="s">
        <v>20</v>
      </c>
      <c r="BH3" s="16" t="s">
        <v>21</v>
      </c>
      <c r="BI3" s="16" t="s">
        <v>22</v>
      </c>
      <c r="BJ3" s="16" t="s">
        <v>23</v>
      </c>
      <c r="BK3" s="16" t="s">
        <v>24</v>
      </c>
      <c r="BL3" s="16" t="s">
        <v>25</v>
      </c>
      <c r="BM3" s="17" t="s">
        <v>30</v>
      </c>
      <c r="BN3" s="18" t="s">
        <v>31</v>
      </c>
    </row>
    <row r="4" spans="1:66" ht="14.4" x14ac:dyDescent="0.3">
      <c r="A4" s="19" t="s">
        <v>32</v>
      </c>
      <c r="B4" s="19" t="s">
        <v>33</v>
      </c>
      <c r="C4" s="19" t="s">
        <v>34</v>
      </c>
      <c r="D4" s="20" t="s">
        <v>35</v>
      </c>
      <c r="E4" s="19" t="s">
        <v>36</v>
      </c>
      <c r="F4" s="19" t="s">
        <v>37</v>
      </c>
      <c r="G4" s="28">
        <v>128.30967467106851</v>
      </c>
      <c r="H4" s="28">
        <v>356.4289950513737</v>
      </c>
      <c r="I4" s="28">
        <v>47.166567101714087</v>
      </c>
      <c r="J4" s="23"/>
      <c r="K4" s="23"/>
      <c r="L4" s="23"/>
      <c r="M4" s="23"/>
      <c r="N4" s="23"/>
      <c r="O4" s="23"/>
      <c r="P4" s="23"/>
      <c r="Q4" s="23">
        <f t="shared" ref="Q4:Q25" ca="1" si="0">(G4+J4+K4+L4+M4+O4+R4+S4+N4)*Q$4</f>
        <v>22.144354844143923</v>
      </c>
      <c r="R4" s="23">
        <f ca="1">G4*R$4</f>
        <v>57.699672406480438</v>
      </c>
      <c r="S4" s="23"/>
      <c r="T4" s="23">
        <f t="shared" ref="T4:T9" ca="1" si="1">(G4+J4+K4+L4+M4+O4+Q4+R4+S4)*T$4</f>
        <v>18.729639954945814</v>
      </c>
      <c r="U4" s="23">
        <f t="shared" ref="U4:U9" ca="1" si="2">(G4+J4+K4+L4+M4+O4+Q4+R4+S4)*U$4</f>
        <v>63.879471258572011</v>
      </c>
      <c r="V4" s="23"/>
      <c r="W4" s="23"/>
      <c r="X4" s="23"/>
      <c r="Y4" s="23">
        <f t="shared" ref="Y4:Y9" ca="1" si="3">(G4+J4+K4+L4+M4+O4+R4+S4)*Y$4</f>
        <v>0.12489184955781839</v>
      </c>
      <c r="Z4" s="23">
        <f t="shared" ref="Z4:Z9" ca="1" si="4">(G4+J4+K4+L4+M4+O4+Q4+R4+S4)*Z$4</f>
        <v>1.1959849639988376E-2</v>
      </c>
      <c r="AA4" s="29">
        <f t="shared" ref="AA4:AA32" ca="1" si="5">SUM(J4:U4)+G4</f>
        <v>290.76281313521065</v>
      </c>
      <c r="AB4" s="30">
        <f ca="1">SUM(V4:Z4)</f>
        <v>0.13685169919780676</v>
      </c>
      <c r="AC4" s="23"/>
      <c r="AD4" s="23"/>
      <c r="AE4" s="23"/>
      <c r="AF4" s="23"/>
      <c r="AG4" s="23"/>
      <c r="AH4" s="23"/>
      <c r="AI4" s="23"/>
      <c r="AJ4" s="23">
        <f t="shared" ref="AJ4:AJ25" ca="1" si="6">(H4+AC4+AD4+AE4+AF4+AH4+AK4+AL4+AG4)*AJ$4</f>
        <v>61.514380450213551</v>
      </c>
      <c r="AK4" s="23">
        <f ca="1">H4*AK$4</f>
        <v>160.28281813789465</v>
      </c>
      <c r="AL4" s="23"/>
      <c r="AM4" s="23">
        <f t="shared" ref="AM4:AM9" ca="1" si="7">(H4+AC4+AD4+AE4+AF4+AH4+AJ4+AK4+AL4)*AM$4</f>
        <v>52.0287091673272</v>
      </c>
      <c r="AN4" s="23">
        <f t="shared" ref="AN4:AN9" ca="1" si="8">(H4+AC4+AD4+AE4+AF4+AH4+AJ4+AK4+AL4)*AN$4</f>
        <v>177.44956335891803</v>
      </c>
      <c r="AO4" s="23"/>
      <c r="AP4" s="23"/>
      <c r="AQ4" s="23"/>
      <c r="AR4" s="23">
        <f t="shared" ref="AR4:AR9" ca="1" si="9">(H4+AC4+AD4+AE4+AF4+AH4+AK4+AL4)*AR$4</f>
        <v>0.34693468393648652</v>
      </c>
      <c r="AS4" s="23">
        <f t="shared" ref="AS4:AS9" ca="1" si="10">(H4+AC4+AD4+AE4+AF4+AH4+AJ4+AK4+AL4)*AS$4</f>
        <v>3.3223037928158526E-2</v>
      </c>
      <c r="AT4" s="29">
        <f t="shared" ref="AT4:AT32" ca="1" si="11">SUM(AC4:AN4)+H4</f>
        <v>807.70446616572713</v>
      </c>
      <c r="AU4" s="30">
        <f t="shared" ref="AU4:AU32" ca="1" si="12">SUM(AO4:AS4)</f>
        <v>0.38015772186464503</v>
      </c>
      <c r="AV4" s="23"/>
      <c r="AW4" s="23"/>
      <c r="AX4" s="23"/>
      <c r="AY4" s="23"/>
      <c r="AZ4" s="23"/>
      <c r="BA4" s="23"/>
      <c r="BB4" s="23"/>
      <c r="BC4" s="23">
        <f t="shared" ref="BC4:BC25" ca="1" si="13">(I4+AV4+AW4+AX4+AY4+BA4+BD4+BE4+AZ4)*BC$4</f>
        <v>8.8110542380562311</v>
      </c>
      <c r="BD4" s="23">
        <f ca="1">I4*BD$4</f>
        <v>19.225991779100468</v>
      </c>
      <c r="BE4" s="23"/>
      <c r="BF4" s="23">
        <f t="shared" ref="BF4:BF9" ca="1" si="14">(I4+AV4+AW4+AX4+AY4+BA4+BC4+BD4+BE4)*BF$4</f>
        <v>5.6024357440243824</v>
      </c>
      <c r="BG4" s="23">
        <f t="shared" ref="BG4:BG9" ca="1" si="15">(I4+AV4+AW4+AX4+AY4+BA4+BC4+BD4+BE4)*BG$4</f>
        <v>23.754981162039314</v>
      </c>
      <c r="BH4" s="23"/>
      <c r="BI4" s="23"/>
      <c r="BJ4" s="23"/>
      <c r="BK4" s="23">
        <f t="shared" ref="BK4:BK9" ca="1" si="16">(I4+AV4+AW4+AX4+AY4+BA4+BD4+BE4)*BK$4</f>
        <v>6.0910549815047843E-2</v>
      </c>
      <c r="BL4" s="23">
        <f t="shared" ref="BL4:BL9" ca="1" si="17">(I4+AV4+AW4+AX4+AY4+BA4+BC4+BD4+BE4)*BL$4</f>
        <v>4.6209479858641024E-3</v>
      </c>
      <c r="BM4" s="29">
        <f t="shared" ref="BM4:BM32" ca="1" si="18">SUM(AV4:BG4)+I4</f>
        <v>104.56103002493448</v>
      </c>
      <c r="BN4" s="30">
        <f t="shared" ref="BN4:BN32" ca="1" si="19">SUM(BH4:BL4)</f>
        <v>6.5531497800911942E-2</v>
      </c>
    </row>
    <row r="5" spans="1:66" ht="14.4" x14ac:dyDescent="0.3">
      <c r="A5" s="19" t="s">
        <v>32</v>
      </c>
      <c r="B5" s="19" t="s">
        <v>33</v>
      </c>
      <c r="C5" s="19" t="s">
        <v>34</v>
      </c>
      <c r="D5" s="21" t="s">
        <v>38</v>
      </c>
      <c r="E5" s="19" t="s">
        <v>39</v>
      </c>
      <c r="F5" s="19" t="s">
        <v>40</v>
      </c>
      <c r="G5" s="28">
        <v>0</v>
      </c>
      <c r="H5" s="28">
        <v>0</v>
      </c>
      <c r="I5" s="28">
        <v>0</v>
      </c>
      <c r="J5" s="23"/>
      <c r="K5" s="23"/>
      <c r="L5" s="23"/>
      <c r="M5" s="23"/>
      <c r="N5" s="23"/>
      <c r="O5" s="23">
        <f>G5*O$4</f>
        <v>0</v>
      </c>
      <c r="P5" s="23">
        <f>G5*P$4</f>
        <v>0</v>
      </c>
      <c r="Q5" s="23">
        <f ca="1">O5*Q$4</f>
        <v>0</v>
      </c>
      <c r="R5" s="23"/>
      <c r="S5" s="23"/>
      <c r="T5" s="23">
        <f ca="1">(O5+Q5)*T$4</f>
        <v>0</v>
      </c>
      <c r="U5" s="23">
        <f ca="1">(O5+Q5)*U$4</f>
        <v>0</v>
      </c>
      <c r="V5" s="23"/>
      <c r="W5" s="23"/>
      <c r="X5" s="23">
        <f>G5*X$4</f>
        <v>0</v>
      </c>
      <c r="Y5" s="23">
        <f ca="1">O5*Y$4</f>
        <v>0</v>
      </c>
      <c r="Z5" s="23">
        <f ca="1">(O5+Q5)*Z$4</f>
        <v>0</v>
      </c>
      <c r="AA5" s="29">
        <f t="shared" ca="1" si="5"/>
        <v>0</v>
      </c>
      <c r="AB5" s="30">
        <f t="shared" ref="AB5:AB32" ca="1" si="20">SUM(V5:Z5)</f>
        <v>0</v>
      </c>
      <c r="AC5" s="23"/>
      <c r="AD5" s="23"/>
      <c r="AE5" s="23"/>
      <c r="AF5" s="23"/>
      <c r="AG5" s="23"/>
      <c r="AH5" s="23">
        <f>H5*AH$4</f>
        <v>0</v>
      </c>
      <c r="AI5" s="23">
        <f>H5*AI$4</f>
        <v>0</v>
      </c>
      <c r="AJ5" s="23">
        <f ca="1">AH5*AJ$4</f>
        <v>0</v>
      </c>
      <c r="AK5" s="23"/>
      <c r="AL5" s="23"/>
      <c r="AM5" s="23">
        <f ca="1">(AH5+AJ5)*AM$4</f>
        <v>0</v>
      </c>
      <c r="AN5" s="23">
        <f ca="1">(AH5+AJ5)*AN$4</f>
        <v>0</v>
      </c>
      <c r="AO5" s="23"/>
      <c r="AP5" s="23"/>
      <c r="AQ5" s="23">
        <f>H5*AQ$4</f>
        <v>0</v>
      </c>
      <c r="AR5" s="23">
        <f ca="1">AH5*AR$4</f>
        <v>0</v>
      </c>
      <c r="AS5" s="23">
        <f ca="1">(AH5+AJ5)*AS$4</f>
        <v>0</v>
      </c>
      <c r="AT5" s="29">
        <f t="shared" ca="1" si="11"/>
        <v>0</v>
      </c>
      <c r="AU5" s="30">
        <f t="shared" ca="1" si="12"/>
        <v>0</v>
      </c>
      <c r="AV5" s="23"/>
      <c r="AW5" s="23"/>
      <c r="AX5" s="23"/>
      <c r="AY5" s="23"/>
      <c r="AZ5" s="23"/>
      <c r="BA5" s="23">
        <f>I5*BA$4</f>
        <v>0</v>
      </c>
      <c r="BB5" s="23">
        <f>I5*BB$4</f>
        <v>0</v>
      </c>
      <c r="BC5" s="23">
        <f ca="1">BA5*BC$4</f>
        <v>0</v>
      </c>
      <c r="BD5" s="23"/>
      <c r="BE5" s="23"/>
      <c r="BF5" s="23">
        <f ca="1">(BA5+BC5)*BF$4</f>
        <v>0</v>
      </c>
      <c r="BG5" s="23">
        <f ca="1">(BA5+BC5)*BG$4</f>
        <v>0</v>
      </c>
      <c r="BH5" s="23"/>
      <c r="BI5" s="23"/>
      <c r="BJ5" s="23">
        <f>I5*BJ$4</f>
        <v>0</v>
      </c>
      <c r="BK5" s="23">
        <f ca="1">BA5*BK$4</f>
        <v>0</v>
      </c>
      <c r="BL5" s="23">
        <f ca="1">(BA5+BC5)*BL$4</f>
        <v>0</v>
      </c>
      <c r="BM5" s="29">
        <f t="shared" ca="1" si="18"/>
        <v>0</v>
      </c>
      <c r="BN5" s="30">
        <f t="shared" ca="1" si="19"/>
        <v>0</v>
      </c>
    </row>
    <row r="6" spans="1:66" ht="14.4" x14ac:dyDescent="0.3">
      <c r="A6" s="19" t="s">
        <v>32</v>
      </c>
      <c r="B6" s="19" t="s">
        <v>33</v>
      </c>
      <c r="C6" s="19" t="s">
        <v>34</v>
      </c>
      <c r="D6" s="20" t="s">
        <v>41</v>
      </c>
      <c r="E6" s="19" t="s">
        <v>42</v>
      </c>
      <c r="F6" s="19" t="s">
        <v>43</v>
      </c>
      <c r="G6" s="28">
        <v>0</v>
      </c>
      <c r="H6" s="28">
        <v>0</v>
      </c>
      <c r="I6" s="28">
        <v>0</v>
      </c>
      <c r="J6" s="23"/>
      <c r="K6" s="23"/>
      <c r="L6" s="23"/>
      <c r="M6" s="23"/>
      <c r="N6" s="23"/>
      <c r="O6" s="23">
        <f>G6*O$4</f>
        <v>0</v>
      </c>
      <c r="P6" s="23"/>
      <c r="Q6" s="23">
        <f ca="1">O6*Q$4</f>
        <v>0</v>
      </c>
      <c r="R6" s="23"/>
      <c r="S6" s="23"/>
      <c r="T6" s="23">
        <f ca="1">(O6+Q6)*T$4</f>
        <v>0</v>
      </c>
      <c r="U6" s="23">
        <f ca="1">(O6+Q6)*U$4</f>
        <v>0</v>
      </c>
      <c r="V6" s="23"/>
      <c r="W6" s="23"/>
      <c r="X6" s="23">
        <f>G6*X$4</f>
        <v>0</v>
      </c>
      <c r="Y6" s="23">
        <f ca="1">O6*Y$4</f>
        <v>0</v>
      </c>
      <c r="Z6" s="23">
        <f ca="1">(O6+Q6)*Z$4</f>
        <v>0</v>
      </c>
      <c r="AA6" s="29">
        <f t="shared" ca="1" si="5"/>
        <v>0</v>
      </c>
      <c r="AB6" s="30">
        <f t="shared" ca="1" si="20"/>
        <v>0</v>
      </c>
      <c r="AC6" s="23"/>
      <c r="AD6" s="23"/>
      <c r="AE6" s="23"/>
      <c r="AF6" s="23"/>
      <c r="AG6" s="23"/>
      <c r="AH6" s="23">
        <f>H6*AH$4</f>
        <v>0</v>
      </c>
      <c r="AI6" s="23"/>
      <c r="AJ6" s="23">
        <f ca="1">AH6*AJ$4</f>
        <v>0</v>
      </c>
      <c r="AK6" s="23"/>
      <c r="AL6" s="23"/>
      <c r="AM6" s="23">
        <f ca="1">(AH6+AJ6)*AM$4</f>
        <v>0</v>
      </c>
      <c r="AN6" s="23">
        <f ca="1">(AH6+AJ6)*AN$4</f>
        <v>0</v>
      </c>
      <c r="AO6" s="23"/>
      <c r="AP6" s="23"/>
      <c r="AQ6" s="23">
        <f>H6*AQ$4</f>
        <v>0</v>
      </c>
      <c r="AR6" s="23">
        <f ca="1">AH6*AR$4</f>
        <v>0</v>
      </c>
      <c r="AS6" s="23">
        <f ca="1">(AH6+AJ6)*AS$4</f>
        <v>0</v>
      </c>
      <c r="AT6" s="29">
        <f t="shared" ca="1" si="11"/>
        <v>0</v>
      </c>
      <c r="AU6" s="30">
        <f t="shared" ca="1" si="12"/>
        <v>0</v>
      </c>
      <c r="AV6" s="23"/>
      <c r="AW6" s="23"/>
      <c r="AX6" s="23"/>
      <c r="AY6" s="23"/>
      <c r="AZ6" s="23"/>
      <c r="BA6" s="23">
        <f>I6*BA$4</f>
        <v>0</v>
      </c>
      <c r="BB6" s="23"/>
      <c r="BC6" s="23">
        <f ca="1">BA6*BC$4</f>
        <v>0</v>
      </c>
      <c r="BD6" s="23"/>
      <c r="BE6" s="23"/>
      <c r="BF6" s="23">
        <f ca="1">(BA6+BC6)*BF$4</f>
        <v>0</v>
      </c>
      <c r="BG6" s="23">
        <f ca="1">(BA6+BC6)*BG$4</f>
        <v>0</v>
      </c>
      <c r="BH6" s="23"/>
      <c r="BI6" s="23"/>
      <c r="BJ6" s="23">
        <f>I6*BJ$4</f>
        <v>0</v>
      </c>
      <c r="BK6" s="23">
        <f ca="1">BA6*BK$4</f>
        <v>0</v>
      </c>
      <c r="BL6" s="23">
        <f ca="1">(BA6+BC6)*BL$4</f>
        <v>0</v>
      </c>
      <c r="BM6" s="29">
        <f t="shared" ca="1" si="18"/>
        <v>0</v>
      </c>
      <c r="BN6" s="30">
        <f t="shared" ca="1" si="19"/>
        <v>0</v>
      </c>
    </row>
    <row r="7" spans="1:66" ht="14.4" x14ac:dyDescent="0.3">
      <c r="A7" s="19" t="s">
        <v>32</v>
      </c>
      <c r="B7" s="19" t="s">
        <v>33</v>
      </c>
      <c r="C7" s="19" t="s">
        <v>34</v>
      </c>
      <c r="D7" s="19" t="s">
        <v>44</v>
      </c>
      <c r="E7" s="22" t="s">
        <v>45</v>
      </c>
      <c r="F7" s="23" t="s">
        <v>46</v>
      </c>
      <c r="G7" s="28">
        <v>0</v>
      </c>
      <c r="H7" s="28">
        <v>0</v>
      </c>
      <c r="I7" s="28">
        <v>0</v>
      </c>
      <c r="J7" s="23"/>
      <c r="K7" s="23"/>
      <c r="L7" s="23"/>
      <c r="M7" s="23"/>
      <c r="N7" s="23"/>
      <c r="O7" s="23"/>
      <c r="P7" s="23"/>
      <c r="Q7" s="23">
        <f ca="1">(G7+J7+K7+L7+M7+O7+R7+S7+N7)*Q$4</f>
        <v>0</v>
      </c>
      <c r="R7" s="23"/>
      <c r="S7" s="23"/>
      <c r="T7" s="23">
        <f ca="1">(G7+J7+K7+L7+M7+O7+Q7+R7+S7)*T$4</f>
        <v>0</v>
      </c>
      <c r="U7" s="23">
        <f ca="1">(G7+J7+K7+L7+M7+O7+Q7+R7+S7)*U$4</f>
        <v>0</v>
      </c>
      <c r="V7" s="23"/>
      <c r="W7" s="23"/>
      <c r="X7" s="23"/>
      <c r="Y7" s="23"/>
      <c r="Z7" s="23">
        <f ca="1">(G7+J7+K7+L7+M7+O7+Q7+R7+S7)*Z$4</f>
        <v>0</v>
      </c>
      <c r="AA7" s="29">
        <f t="shared" ca="1" si="5"/>
        <v>0</v>
      </c>
      <c r="AB7" s="30">
        <f t="shared" ca="1" si="20"/>
        <v>0</v>
      </c>
      <c r="AC7" s="23"/>
      <c r="AD7" s="23"/>
      <c r="AE7" s="23"/>
      <c r="AF7" s="23"/>
      <c r="AG7" s="23"/>
      <c r="AH7" s="23"/>
      <c r="AI7" s="23"/>
      <c r="AJ7" s="23">
        <f ca="1">(H7+AC7+AD7+AE7+AF7+AH7+AK7+AL7+AG7)*AJ$4</f>
        <v>0</v>
      </c>
      <c r="AK7" s="23"/>
      <c r="AL7" s="23"/>
      <c r="AM7" s="23">
        <f ca="1">(H7+AC7+AD7+AE7+AF7+AH7+AJ7+AK7+AL7)*AM$4</f>
        <v>0</v>
      </c>
      <c r="AN7" s="23">
        <f ca="1">(H7+AC7+AD7+AE7+AF7+AH7+AJ7+AK7+AL7)*AN$4</f>
        <v>0</v>
      </c>
      <c r="AO7" s="23"/>
      <c r="AP7" s="23"/>
      <c r="AQ7" s="23"/>
      <c r="AR7" s="23"/>
      <c r="AS7" s="23">
        <f ca="1">(H7+AC7+AD7+AE7+AF7+AH7+AJ7+AK7+AL7)*AS$4</f>
        <v>0</v>
      </c>
      <c r="AT7" s="29">
        <f t="shared" ca="1" si="11"/>
        <v>0</v>
      </c>
      <c r="AU7" s="30">
        <f t="shared" ca="1" si="12"/>
        <v>0</v>
      </c>
      <c r="AV7" s="23"/>
      <c r="AW7" s="23"/>
      <c r="AX7" s="23"/>
      <c r="AY7" s="23"/>
      <c r="AZ7" s="23"/>
      <c r="BA7" s="23"/>
      <c r="BB7" s="23"/>
      <c r="BC7" s="23">
        <f ca="1">(I7+AV7+AW7+AX7+AY7+BA7+BD7+BE7+AZ7)*BC$4</f>
        <v>0</v>
      </c>
      <c r="BD7" s="23"/>
      <c r="BE7" s="23"/>
      <c r="BF7" s="23">
        <f ca="1">(I7+AV7+AW7+AX7+AY7+BA7+BC7+BD7+BE7)*BF$4</f>
        <v>0</v>
      </c>
      <c r="BG7" s="23">
        <f ca="1">(I7+AV7+AW7+AX7+AY7+BA7+BC7+BD7+BE7)*BG$4</f>
        <v>0</v>
      </c>
      <c r="BH7" s="23"/>
      <c r="BI7" s="23"/>
      <c r="BJ7" s="23"/>
      <c r="BK7" s="23"/>
      <c r="BL7" s="23">
        <f ca="1">(I7+AV7+AW7+AX7+AY7+BA7+BC7+BD7+BE7)*BL$4</f>
        <v>0</v>
      </c>
      <c r="BM7" s="29">
        <f t="shared" ca="1" si="18"/>
        <v>0</v>
      </c>
      <c r="BN7" s="30">
        <f t="shared" ca="1" si="19"/>
        <v>0</v>
      </c>
    </row>
    <row r="8" spans="1:66" ht="14.4" x14ac:dyDescent="0.3">
      <c r="A8" s="19" t="s">
        <v>32</v>
      </c>
      <c r="B8" s="19" t="s">
        <v>33</v>
      </c>
      <c r="C8" s="19" t="s">
        <v>34</v>
      </c>
      <c r="D8" s="20" t="s">
        <v>47</v>
      </c>
      <c r="E8" s="19" t="s">
        <v>48</v>
      </c>
      <c r="F8" s="19" t="s">
        <v>49</v>
      </c>
      <c r="G8" s="28">
        <v>0</v>
      </c>
      <c r="H8" s="28">
        <v>0</v>
      </c>
      <c r="I8" s="28">
        <v>0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9">
        <f t="shared" si="5"/>
        <v>0</v>
      </c>
      <c r="AB8" s="30">
        <f t="shared" si="20"/>
        <v>0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9">
        <f t="shared" si="11"/>
        <v>0</v>
      </c>
      <c r="AU8" s="30">
        <f t="shared" si="12"/>
        <v>0</v>
      </c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9">
        <f t="shared" si="18"/>
        <v>0</v>
      </c>
      <c r="BN8" s="30">
        <f t="shared" si="19"/>
        <v>0</v>
      </c>
    </row>
    <row r="9" spans="1:66" ht="14.4" x14ac:dyDescent="0.3">
      <c r="A9" s="19" t="s">
        <v>32</v>
      </c>
      <c r="B9" s="19" t="s">
        <v>33</v>
      </c>
      <c r="C9" s="19" t="s">
        <v>34</v>
      </c>
      <c r="D9" s="19" t="s">
        <v>50</v>
      </c>
      <c r="E9" s="19" t="s">
        <v>51</v>
      </c>
      <c r="F9" s="23" t="s">
        <v>49</v>
      </c>
      <c r="G9" s="28">
        <v>0</v>
      </c>
      <c r="H9" s="28">
        <v>0</v>
      </c>
      <c r="I9" s="28">
        <v>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9">
        <f t="shared" si="5"/>
        <v>0</v>
      </c>
      <c r="AB9" s="30">
        <f t="shared" si="20"/>
        <v>0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9">
        <f t="shared" si="11"/>
        <v>0</v>
      </c>
      <c r="AU9" s="30">
        <f t="shared" si="12"/>
        <v>0</v>
      </c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9">
        <f t="shared" si="18"/>
        <v>0</v>
      </c>
      <c r="BN9" s="30">
        <f t="shared" si="19"/>
        <v>0</v>
      </c>
    </row>
    <row r="10" spans="1:66" ht="14.4" x14ac:dyDescent="0.3">
      <c r="A10" s="19" t="s">
        <v>32</v>
      </c>
      <c r="B10" s="19" t="s">
        <v>33</v>
      </c>
      <c r="C10" s="19" t="s">
        <v>34</v>
      </c>
      <c r="D10" s="19" t="s">
        <v>52</v>
      </c>
      <c r="E10" s="19" t="s">
        <v>53</v>
      </c>
      <c r="F10" s="24" t="s">
        <v>49</v>
      </c>
      <c r="G10" s="28">
        <v>694.41000000000008</v>
      </c>
      <c r="H10" s="28">
        <v>907.75</v>
      </c>
      <c r="I10" s="28">
        <v>0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9">
        <f t="shared" si="5"/>
        <v>694.41000000000008</v>
      </c>
      <c r="AB10" s="30">
        <f t="shared" si="20"/>
        <v>0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9">
        <f t="shared" si="11"/>
        <v>907.75</v>
      </c>
      <c r="AU10" s="30">
        <f t="shared" si="12"/>
        <v>0</v>
      </c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9">
        <f t="shared" si="18"/>
        <v>0</v>
      </c>
      <c r="BN10" s="30">
        <f t="shared" si="19"/>
        <v>0</v>
      </c>
    </row>
    <row r="11" spans="1:66" ht="14.4" x14ac:dyDescent="0.3">
      <c r="A11" s="19" t="s">
        <v>32</v>
      </c>
      <c r="B11" s="19" t="s">
        <v>33</v>
      </c>
      <c r="C11" s="19" t="s">
        <v>34</v>
      </c>
      <c r="D11" s="19" t="s">
        <v>54</v>
      </c>
      <c r="E11" s="19" t="s">
        <v>55</v>
      </c>
      <c r="F11" s="24" t="s">
        <v>49</v>
      </c>
      <c r="G11" s="28">
        <v>0</v>
      </c>
      <c r="H11" s="28">
        <v>0</v>
      </c>
      <c r="I11" s="28">
        <v>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9">
        <f t="shared" si="5"/>
        <v>0</v>
      </c>
      <c r="AB11" s="30">
        <f t="shared" si="20"/>
        <v>0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9">
        <f t="shared" si="11"/>
        <v>0</v>
      </c>
      <c r="AU11" s="30">
        <f t="shared" si="12"/>
        <v>0</v>
      </c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9">
        <f t="shared" si="18"/>
        <v>0</v>
      </c>
      <c r="BN11" s="30">
        <f t="shared" si="19"/>
        <v>0</v>
      </c>
    </row>
    <row r="12" spans="1:66" ht="14.4" x14ac:dyDescent="0.3">
      <c r="A12" s="19" t="s">
        <v>32</v>
      </c>
      <c r="B12" s="19" t="s">
        <v>33</v>
      </c>
      <c r="C12" s="19" t="s">
        <v>34</v>
      </c>
      <c r="D12" s="19" t="s">
        <v>56</v>
      </c>
      <c r="E12" s="19" t="s">
        <v>57</v>
      </c>
      <c r="F12" s="24" t="s">
        <v>58</v>
      </c>
      <c r="G12" s="28">
        <v>494.46999999999997</v>
      </c>
      <c r="H12" s="28">
        <v>975.8599999999999</v>
      </c>
      <c r="I12" s="28">
        <v>0.35</v>
      </c>
      <c r="J12" s="23">
        <f t="shared" ref="J12:J22" si="21">G12*J$4</f>
        <v>0</v>
      </c>
      <c r="K12" s="23">
        <f t="shared" ref="K12:K22" si="22">(G12+J12)*K$4</f>
        <v>0</v>
      </c>
      <c r="L12" s="23"/>
      <c r="M12" s="23"/>
      <c r="N12" s="23"/>
      <c r="O12" s="23"/>
      <c r="P12" s="23"/>
      <c r="Q12" s="23">
        <f t="shared" ref="Q12:Q32" ca="1" si="23">(G12+J12+K12+L12+M12+O12+R12+S12+N12)*Q$4</f>
        <v>356.00757901871049</v>
      </c>
      <c r="R12" s="23"/>
      <c r="S12" s="23"/>
      <c r="T12" s="23">
        <f t="shared" ref="T12:T26" ca="1" si="24">(G12+J12+K12+L12+M12+O12+Q12+R12+S12)*T$4</f>
        <v>301.11032013270392</v>
      </c>
      <c r="U12" s="23">
        <f t="shared" ref="U12:U26" ca="1" si="25">(G12+J12+K12+L12+M12+O12+Q12+R12+S12)*U$4</f>
        <v>1026.9694498583931</v>
      </c>
      <c r="V12" s="23">
        <f t="shared" ref="V12:V22" si="26">(G12+J12)*V$4</f>
        <v>0</v>
      </c>
      <c r="W12" s="23"/>
      <c r="X12" s="23"/>
      <c r="Y12" s="23">
        <f t="shared" ref="Y12:Y26" ca="1" si="27">(G12+J12+K12+L12+M12+O12+R12+S12)*Y$4</f>
        <v>2.0078455802023982</v>
      </c>
      <c r="Z12" s="23">
        <f t="shared" ref="Z12:Z26" ca="1" si="28">(G12+J12+K12+L12+M12+O12+Q12+R12+S12)*Z$4</f>
        <v>0.19227460658606785</v>
      </c>
      <c r="AA12" s="29">
        <f t="shared" ca="1" si="5"/>
        <v>4674.4990270199869</v>
      </c>
      <c r="AB12" s="30">
        <f t="shared" ca="1" si="20"/>
        <v>51.723629705715076</v>
      </c>
      <c r="AC12" s="23">
        <f t="shared" ref="AC12:AC22" si="29">H12*AC$4</f>
        <v>0</v>
      </c>
      <c r="AD12" s="23">
        <f t="shared" ref="AD12:AD22" si="30">(H12+AC12)*AD$4</f>
        <v>0</v>
      </c>
      <c r="AE12" s="23"/>
      <c r="AF12" s="23"/>
      <c r="AG12" s="23"/>
      <c r="AH12" s="23"/>
      <c r="AI12" s="23"/>
      <c r="AJ12" s="23">
        <f t="shared" ref="AJ12:AJ32" ca="1" si="31">(H12+AC12+AD12+AE12+AF12+AH12+AK12+AL12+AG12)*AJ$4</f>
        <v>702.59784428013597</v>
      </c>
      <c r="AK12" s="23"/>
      <c r="AL12" s="23"/>
      <c r="AM12" s="23">
        <f t="shared" ref="AM12:AM26" ca="1" si="32">(H12+AC12+AD12+AE12+AF12+AH12+AJ12+AK12+AL12)*AM$4</f>
        <v>594.25549983760493</v>
      </c>
      <c r="AN12" s="23">
        <f t="shared" ref="AN12:AN26" ca="1" si="33">(H12+AC12+AD12+AE12+AF12+AH12+AJ12+AK12+AL12)*AN$4</f>
        <v>2026.7729232083068</v>
      </c>
      <c r="AO12" s="23">
        <f t="shared" ref="AO12:AO22" si="34">(H12+AC12)*AO$4</f>
        <v>0</v>
      </c>
      <c r="AP12" s="23"/>
      <c r="AQ12" s="23"/>
      <c r="AR12" s="23">
        <f t="shared" ref="AR12:AR26" ca="1" si="35">(H12+AC12+AD12+AE12+AF12+AH12+AK12+AL12)*AR$4</f>
        <v>3.9625784939355517</v>
      </c>
      <c r="AS12" s="23">
        <f t="shared" ref="AS12:AS26" ca="1" si="36">(H12+AC12+AD12+AE12+AF12+AH12+AJ12+AK12+AL12)*AS$4</f>
        <v>0.37946305657184498</v>
      </c>
      <c r="AT12" s="29">
        <f t="shared" ca="1" si="11"/>
        <v>9225.3455629415821</v>
      </c>
      <c r="AU12" s="30">
        <f t="shared" ca="1" si="12"/>
        <v>102.07903671530954</v>
      </c>
      <c r="AV12" s="23">
        <f t="shared" ref="AV12:AV22" si="37">I12*AV$4</f>
        <v>0</v>
      </c>
      <c r="AW12" s="23">
        <f t="shared" ref="AW12:AW22" si="38">(I12+AV12)*AW$4</f>
        <v>0</v>
      </c>
      <c r="AX12" s="23"/>
      <c r="AY12" s="23"/>
      <c r="AZ12" s="23"/>
      <c r="BA12" s="23"/>
      <c r="BB12" s="23"/>
      <c r="BC12" s="23">
        <f t="shared" ref="BC12:BC32" ca="1" si="39">(I12+AV12+AW12+AX12+AY12+BA12+BD12+BE12+AZ12)*BC$4</f>
        <v>0.26453336128508231</v>
      </c>
      <c r="BD12" s="23"/>
      <c r="BE12" s="23"/>
      <c r="BF12" s="23">
        <f t="shared" ref="BF12:BF26" ca="1" si="40">(I12+AV12+AW12+AX12+AY12+BA12+BC12+BD12+BE12)*BF$4</f>
        <v>0.16820134330229772</v>
      </c>
      <c r="BG12" s="23">
        <f t="shared" ref="BG12:BG26" ca="1" si="41">(I12+AV12+AW12+AX12+AY12+BA12+BC12+BD12+BE12)*BG$4</f>
        <v>0.71319331878773617</v>
      </c>
      <c r="BH12" s="23">
        <f t="shared" ref="BH12:BH22" si="42">(I12+AV12)*BH$4</f>
        <v>0</v>
      </c>
      <c r="BI12" s="23"/>
      <c r="BJ12" s="23"/>
      <c r="BK12" s="23">
        <f t="shared" ref="BK12:BK26" ca="1" si="43">(I12+AV12+AW12+AX12+AY12+BA12+BD12+BE12)*BK$4</f>
        <v>1.8287110764456771E-3</v>
      </c>
      <c r="BL12" s="23">
        <f t="shared" ref="BL12:BL26" ca="1" si="44">(I12+AV12+AW12+AX12+AY12+BA12+BC12+BD12+BE12)*BL$4</f>
        <v>1.3873423883199588E-4</v>
      </c>
      <c r="BM12" s="29">
        <f t="shared" ca="1" si="18"/>
        <v>3.13922488553745</v>
      </c>
      <c r="BN12" s="30">
        <f t="shared" ca="1" si="19"/>
        <v>4.3451463005840296E-2</v>
      </c>
    </row>
    <row r="13" spans="1:66" ht="14.4" x14ac:dyDescent="0.3">
      <c r="A13" s="19" t="s">
        <v>32</v>
      </c>
      <c r="B13" s="19" t="s">
        <v>33</v>
      </c>
      <c r="C13" s="19" t="s">
        <v>34</v>
      </c>
      <c r="D13" s="25" t="s">
        <v>59</v>
      </c>
      <c r="E13" s="25" t="s">
        <v>60</v>
      </c>
      <c r="F13" s="19" t="s">
        <v>58</v>
      </c>
      <c r="G13" s="28">
        <v>24.46</v>
      </c>
      <c r="H13" s="28">
        <v>68.95</v>
      </c>
      <c r="I13" s="28">
        <v>0</v>
      </c>
      <c r="J13" s="23">
        <f t="shared" si="21"/>
        <v>0</v>
      </c>
      <c r="K13" s="23">
        <f t="shared" si="22"/>
        <v>0</v>
      </c>
      <c r="L13" s="23"/>
      <c r="M13" s="23"/>
      <c r="N13" s="23"/>
      <c r="O13" s="23"/>
      <c r="P13" s="23"/>
      <c r="Q13" s="23">
        <f t="shared" ca="1" si="23"/>
        <v>17.610664717369424</v>
      </c>
      <c r="R13" s="23"/>
      <c r="S13" s="23"/>
      <c r="T13" s="23">
        <f t="shared" ca="1" si="24"/>
        <v>14.895056182267759</v>
      </c>
      <c r="U13" s="23">
        <f t="shared" ca="1" si="25"/>
        <v>50.801206834663965</v>
      </c>
      <c r="V13" s="23">
        <f t="shared" si="26"/>
        <v>0</v>
      </c>
      <c r="W13" s="23"/>
      <c r="X13" s="23"/>
      <c r="Y13" s="23">
        <f t="shared" ca="1" si="27"/>
        <v>9.9322310538052169E-2</v>
      </c>
      <c r="Z13" s="23">
        <f t="shared" ca="1" si="28"/>
        <v>9.5112683825008988E-3</v>
      </c>
      <c r="AA13" s="29">
        <f t="shared" ca="1" si="5"/>
        <v>231.23393977573738</v>
      </c>
      <c r="AB13" s="30">
        <f t="shared" ca="1" si="20"/>
        <v>2.5586182834181863</v>
      </c>
      <c r="AC13" s="23">
        <f t="shared" si="29"/>
        <v>0</v>
      </c>
      <c r="AD13" s="23">
        <f t="shared" si="30"/>
        <v>0</v>
      </c>
      <c r="AE13" s="23"/>
      <c r="AF13" s="23"/>
      <c r="AG13" s="23"/>
      <c r="AH13" s="23"/>
      <c r="AI13" s="23"/>
      <c r="AJ13" s="23">
        <f t="shared" ca="1" si="31"/>
        <v>49.642491098226571</v>
      </c>
      <c r="AK13" s="23"/>
      <c r="AL13" s="23"/>
      <c r="AM13" s="23">
        <f t="shared" ca="1" si="32"/>
        <v>41.987494839221675</v>
      </c>
      <c r="AN13" s="23">
        <f t="shared" ca="1" si="33"/>
        <v>143.2029113348357</v>
      </c>
      <c r="AO13" s="23">
        <f t="shared" si="34"/>
        <v>0</v>
      </c>
      <c r="AP13" s="23"/>
      <c r="AQ13" s="23"/>
      <c r="AR13" s="23">
        <f t="shared" ca="1" si="35"/>
        <v>0.2799784673589002</v>
      </c>
      <c r="AS13" s="23">
        <f t="shared" ca="1" si="36"/>
        <v>2.6811200121563249E-2</v>
      </c>
      <c r="AT13" s="29">
        <f t="shared" ca="1" si="11"/>
        <v>651.82257348884286</v>
      </c>
      <c r="AU13" s="30">
        <f t="shared" ca="1" si="12"/>
        <v>7.2124583254981181</v>
      </c>
      <c r="AV13" s="23">
        <f t="shared" si="37"/>
        <v>0</v>
      </c>
      <c r="AW13" s="23">
        <f t="shared" si="38"/>
        <v>0</v>
      </c>
      <c r="AX13" s="23"/>
      <c r="AY13" s="23"/>
      <c r="AZ13" s="23"/>
      <c r="BA13" s="23"/>
      <c r="BB13" s="23"/>
      <c r="BC13" s="23">
        <f t="shared" ca="1" si="39"/>
        <v>0</v>
      </c>
      <c r="BD13" s="23"/>
      <c r="BE13" s="23"/>
      <c r="BF13" s="23">
        <f t="shared" ca="1" si="40"/>
        <v>0</v>
      </c>
      <c r="BG13" s="23">
        <f t="shared" ca="1" si="41"/>
        <v>0</v>
      </c>
      <c r="BH13" s="23">
        <f t="shared" si="42"/>
        <v>0</v>
      </c>
      <c r="BI13" s="23"/>
      <c r="BJ13" s="23"/>
      <c r="BK13" s="23">
        <f t="shared" ca="1" si="43"/>
        <v>0</v>
      </c>
      <c r="BL13" s="23">
        <f t="shared" ca="1" si="44"/>
        <v>0</v>
      </c>
      <c r="BM13" s="29">
        <f t="shared" ca="1" si="18"/>
        <v>0</v>
      </c>
      <c r="BN13" s="30">
        <f t="shared" ca="1" si="19"/>
        <v>0</v>
      </c>
    </row>
    <row r="14" spans="1:66" ht="14.4" x14ac:dyDescent="0.3">
      <c r="A14" s="19" t="s">
        <v>32</v>
      </c>
      <c r="B14" s="19" t="s">
        <v>33</v>
      </c>
      <c r="C14" s="19" t="s">
        <v>34</v>
      </c>
      <c r="D14" s="19" t="s">
        <v>61</v>
      </c>
      <c r="E14" s="19" t="s">
        <v>62</v>
      </c>
      <c r="F14" s="19" t="s">
        <v>58</v>
      </c>
      <c r="G14" s="28">
        <v>0</v>
      </c>
      <c r="H14" s="28">
        <v>0</v>
      </c>
      <c r="I14" s="28">
        <v>0</v>
      </c>
      <c r="J14" s="23">
        <f t="shared" si="21"/>
        <v>0</v>
      </c>
      <c r="K14" s="23">
        <f t="shared" si="22"/>
        <v>0</v>
      </c>
      <c r="L14" s="23"/>
      <c r="M14" s="23"/>
      <c r="N14" s="23"/>
      <c r="O14" s="23"/>
      <c r="P14" s="23"/>
      <c r="Q14" s="23">
        <f t="shared" ca="1" si="23"/>
        <v>0</v>
      </c>
      <c r="R14" s="23"/>
      <c r="S14" s="23"/>
      <c r="T14" s="23">
        <f t="shared" ca="1" si="24"/>
        <v>0</v>
      </c>
      <c r="U14" s="23">
        <f t="shared" ca="1" si="25"/>
        <v>0</v>
      </c>
      <c r="V14" s="23">
        <f t="shared" si="26"/>
        <v>0</v>
      </c>
      <c r="W14" s="23"/>
      <c r="X14" s="23"/>
      <c r="Y14" s="23">
        <f t="shared" ca="1" si="27"/>
        <v>0</v>
      </c>
      <c r="Z14" s="23">
        <f t="shared" ca="1" si="28"/>
        <v>0</v>
      </c>
      <c r="AA14" s="29">
        <f t="shared" ca="1" si="5"/>
        <v>0</v>
      </c>
      <c r="AB14" s="30">
        <f t="shared" ca="1" si="20"/>
        <v>0</v>
      </c>
      <c r="AC14" s="23">
        <f t="shared" si="29"/>
        <v>0</v>
      </c>
      <c r="AD14" s="23">
        <f t="shared" si="30"/>
        <v>0</v>
      </c>
      <c r="AE14" s="23"/>
      <c r="AF14" s="23"/>
      <c r="AG14" s="23"/>
      <c r="AH14" s="23"/>
      <c r="AI14" s="23"/>
      <c r="AJ14" s="23">
        <f t="shared" ca="1" si="31"/>
        <v>0</v>
      </c>
      <c r="AK14" s="23"/>
      <c r="AL14" s="23"/>
      <c r="AM14" s="23">
        <f t="shared" ca="1" si="32"/>
        <v>0</v>
      </c>
      <c r="AN14" s="23">
        <f t="shared" ca="1" si="33"/>
        <v>0</v>
      </c>
      <c r="AO14" s="23">
        <f t="shared" si="34"/>
        <v>0</v>
      </c>
      <c r="AP14" s="23"/>
      <c r="AQ14" s="23"/>
      <c r="AR14" s="23">
        <f t="shared" ca="1" si="35"/>
        <v>0</v>
      </c>
      <c r="AS14" s="23">
        <f t="shared" ca="1" si="36"/>
        <v>0</v>
      </c>
      <c r="AT14" s="29">
        <f t="shared" ca="1" si="11"/>
        <v>0</v>
      </c>
      <c r="AU14" s="30">
        <f t="shared" ca="1" si="12"/>
        <v>0</v>
      </c>
      <c r="AV14" s="23">
        <f t="shared" si="37"/>
        <v>0</v>
      </c>
      <c r="AW14" s="23">
        <f t="shared" si="38"/>
        <v>0</v>
      </c>
      <c r="AX14" s="23"/>
      <c r="AY14" s="23"/>
      <c r="AZ14" s="23"/>
      <c r="BA14" s="23"/>
      <c r="BB14" s="23"/>
      <c r="BC14" s="23">
        <f t="shared" ca="1" si="39"/>
        <v>0</v>
      </c>
      <c r="BD14" s="23"/>
      <c r="BE14" s="23"/>
      <c r="BF14" s="23">
        <f t="shared" ca="1" si="40"/>
        <v>0</v>
      </c>
      <c r="BG14" s="23">
        <f t="shared" ca="1" si="41"/>
        <v>0</v>
      </c>
      <c r="BH14" s="23">
        <f t="shared" si="42"/>
        <v>0</v>
      </c>
      <c r="BI14" s="23"/>
      <c r="BJ14" s="23"/>
      <c r="BK14" s="23">
        <f t="shared" ca="1" si="43"/>
        <v>0</v>
      </c>
      <c r="BL14" s="23">
        <f t="shared" ca="1" si="44"/>
        <v>0</v>
      </c>
      <c r="BM14" s="29">
        <f t="shared" ca="1" si="18"/>
        <v>0</v>
      </c>
      <c r="BN14" s="30">
        <f t="shared" ca="1" si="19"/>
        <v>0</v>
      </c>
    </row>
    <row r="15" spans="1:66" ht="14.4" x14ac:dyDescent="0.3">
      <c r="A15" s="19" t="s">
        <v>32</v>
      </c>
      <c r="B15" s="19" t="s">
        <v>33</v>
      </c>
      <c r="C15" s="19" t="s">
        <v>34</v>
      </c>
      <c r="D15" s="19" t="s">
        <v>63</v>
      </c>
      <c r="E15" s="19" t="s">
        <v>64</v>
      </c>
      <c r="F15" s="19" t="s">
        <v>58</v>
      </c>
      <c r="G15" s="28">
        <v>0</v>
      </c>
      <c r="H15" s="28">
        <v>0</v>
      </c>
      <c r="I15" s="28">
        <v>0</v>
      </c>
      <c r="J15" s="23">
        <f t="shared" si="21"/>
        <v>0</v>
      </c>
      <c r="K15" s="23">
        <f t="shared" si="22"/>
        <v>0</v>
      </c>
      <c r="L15" s="23"/>
      <c r="M15" s="23"/>
      <c r="N15" s="23"/>
      <c r="O15" s="23"/>
      <c r="P15" s="23"/>
      <c r="Q15" s="23">
        <f t="shared" ca="1" si="23"/>
        <v>0</v>
      </c>
      <c r="R15" s="23"/>
      <c r="S15" s="23"/>
      <c r="T15" s="23">
        <f t="shared" ca="1" si="24"/>
        <v>0</v>
      </c>
      <c r="U15" s="23">
        <f t="shared" ca="1" si="25"/>
        <v>0</v>
      </c>
      <c r="V15" s="23">
        <f t="shared" si="26"/>
        <v>0</v>
      </c>
      <c r="W15" s="23"/>
      <c r="X15" s="23"/>
      <c r="Y15" s="23">
        <f t="shared" ca="1" si="27"/>
        <v>0</v>
      </c>
      <c r="Z15" s="23">
        <f t="shared" ca="1" si="28"/>
        <v>0</v>
      </c>
      <c r="AA15" s="29">
        <f t="shared" ca="1" si="5"/>
        <v>0</v>
      </c>
      <c r="AB15" s="30">
        <f t="shared" ca="1" si="20"/>
        <v>0</v>
      </c>
      <c r="AC15" s="23">
        <f t="shared" si="29"/>
        <v>0</v>
      </c>
      <c r="AD15" s="23">
        <f t="shared" si="30"/>
        <v>0</v>
      </c>
      <c r="AE15" s="23"/>
      <c r="AF15" s="23"/>
      <c r="AG15" s="23"/>
      <c r="AH15" s="23"/>
      <c r="AI15" s="23"/>
      <c r="AJ15" s="23">
        <f t="shared" ca="1" si="31"/>
        <v>0</v>
      </c>
      <c r="AK15" s="23"/>
      <c r="AL15" s="23"/>
      <c r="AM15" s="23">
        <f t="shared" ca="1" si="32"/>
        <v>0</v>
      </c>
      <c r="AN15" s="23">
        <f t="shared" ca="1" si="33"/>
        <v>0</v>
      </c>
      <c r="AO15" s="23">
        <f t="shared" si="34"/>
        <v>0</v>
      </c>
      <c r="AP15" s="23"/>
      <c r="AQ15" s="23"/>
      <c r="AR15" s="23">
        <f t="shared" ca="1" si="35"/>
        <v>0</v>
      </c>
      <c r="AS15" s="23">
        <f t="shared" ca="1" si="36"/>
        <v>0</v>
      </c>
      <c r="AT15" s="29">
        <f t="shared" ca="1" si="11"/>
        <v>0</v>
      </c>
      <c r="AU15" s="30">
        <f t="shared" ca="1" si="12"/>
        <v>0</v>
      </c>
      <c r="AV15" s="23">
        <f t="shared" si="37"/>
        <v>0</v>
      </c>
      <c r="AW15" s="23">
        <f t="shared" si="38"/>
        <v>0</v>
      </c>
      <c r="AX15" s="23"/>
      <c r="AY15" s="23"/>
      <c r="AZ15" s="23"/>
      <c r="BA15" s="23"/>
      <c r="BB15" s="23"/>
      <c r="BC15" s="23">
        <f t="shared" ca="1" si="39"/>
        <v>0</v>
      </c>
      <c r="BD15" s="23"/>
      <c r="BE15" s="23"/>
      <c r="BF15" s="23">
        <f t="shared" ca="1" si="40"/>
        <v>0</v>
      </c>
      <c r="BG15" s="23">
        <f t="shared" ca="1" si="41"/>
        <v>0</v>
      </c>
      <c r="BH15" s="23">
        <f t="shared" si="42"/>
        <v>0</v>
      </c>
      <c r="BI15" s="23"/>
      <c r="BJ15" s="23"/>
      <c r="BK15" s="23">
        <f t="shared" ca="1" si="43"/>
        <v>0</v>
      </c>
      <c r="BL15" s="23">
        <f t="shared" ca="1" si="44"/>
        <v>0</v>
      </c>
      <c r="BM15" s="29">
        <f t="shared" ca="1" si="18"/>
        <v>0</v>
      </c>
      <c r="BN15" s="30">
        <f t="shared" ca="1" si="19"/>
        <v>0</v>
      </c>
    </row>
    <row r="16" spans="1:66" ht="14.4" x14ac:dyDescent="0.3">
      <c r="A16" s="19" t="s">
        <v>32</v>
      </c>
      <c r="B16" s="19" t="s">
        <v>33</v>
      </c>
      <c r="C16" s="19" t="s">
        <v>34</v>
      </c>
      <c r="D16" s="19" t="s">
        <v>65</v>
      </c>
      <c r="E16" s="19" t="s">
        <v>66</v>
      </c>
      <c r="F16" s="19" t="s">
        <v>58</v>
      </c>
      <c r="G16" s="28">
        <v>0</v>
      </c>
      <c r="H16" s="28">
        <v>0</v>
      </c>
      <c r="I16" s="28">
        <v>0</v>
      </c>
      <c r="J16" s="23">
        <f t="shared" si="21"/>
        <v>0</v>
      </c>
      <c r="K16" s="23">
        <f t="shared" si="22"/>
        <v>0</v>
      </c>
      <c r="L16" s="23"/>
      <c r="M16" s="23"/>
      <c r="N16" s="23"/>
      <c r="O16" s="23"/>
      <c r="P16" s="23"/>
      <c r="Q16" s="23">
        <f t="shared" ca="1" si="23"/>
        <v>0</v>
      </c>
      <c r="R16" s="23"/>
      <c r="S16" s="23"/>
      <c r="T16" s="23">
        <f t="shared" ca="1" si="24"/>
        <v>0</v>
      </c>
      <c r="U16" s="23">
        <f t="shared" ca="1" si="25"/>
        <v>0</v>
      </c>
      <c r="V16" s="23">
        <f t="shared" si="26"/>
        <v>0</v>
      </c>
      <c r="W16" s="23"/>
      <c r="X16" s="23"/>
      <c r="Y16" s="23">
        <f t="shared" ca="1" si="27"/>
        <v>0</v>
      </c>
      <c r="Z16" s="23">
        <f t="shared" ca="1" si="28"/>
        <v>0</v>
      </c>
      <c r="AA16" s="29">
        <f t="shared" ca="1" si="5"/>
        <v>0</v>
      </c>
      <c r="AB16" s="30">
        <f t="shared" ca="1" si="20"/>
        <v>0</v>
      </c>
      <c r="AC16" s="23">
        <f t="shared" si="29"/>
        <v>0</v>
      </c>
      <c r="AD16" s="23">
        <f t="shared" si="30"/>
        <v>0</v>
      </c>
      <c r="AE16" s="23"/>
      <c r="AF16" s="23"/>
      <c r="AG16" s="23"/>
      <c r="AH16" s="23"/>
      <c r="AI16" s="23"/>
      <c r="AJ16" s="23">
        <f t="shared" ca="1" si="31"/>
        <v>0</v>
      </c>
      <c r="AK16" s="23"/>
      <c r="AL16" s="23"/>
      <c r="AM16" s="23">
        <f t="shared" ca="1" si="32"/>
        <v>0</v>
      </c>
      <c r="AN16" s="23">
        <f t="shared" ca="1" si="33"/>
        <v>0</v>
      </c>
      <c r="AO16" s="23">
        <f t="shared" si="34"/>
        <v>0</v>
      </c>
      <c r="AP16" s="23"/>
      <c r="AQ16" s="23"/>
      <c r="AR16" s="23">
        <f t="shared" ca="1" si="35"/>
        <v>0</v>
      </c>
      <c r="AS16" s="23">
        <f t="shared" ca="1" si="36"/>
        <v>0</v>
      </c>
      <c r="AT16" s="29">
        <f t="shared" ca="1" si="11"/>
        <v>0</v>
      </c>
      <c r="AU16" s="30">
        <f t="shared" ca="1" si="12"/>
        <v>0</v>
      </c>
      <c r="AV16" s="23">
        <f t="shared" si="37"/>
        <v>0</v>
      </c>
      <c r="AW16" s="23">
        <f t="shared" si="38"/>
        <v>0</v>
      </c>
      <c r="AX16" s="23"/>
      <c r="AY16" s="23"/>
      <c r="AZ16" s="23"/>
      <c r="BA16" s="23"/>
      <c r="BB16" s="23"/>
      <c r="BC16" s="23">
        <f t="shared" ca="1" si="39"/>
        <v>0</v>
      </c>
      <c r="BD16" s="23"/>
      <c r="BE16" s="23"/>
      <c r="BF16" s="23">
        <f t="shared" ca="1" si="40"/>
        <v>0</v>
      </c>
      <c r="BG16" s="23">
        <f t="shared" ca="1" si="41"/>
        <v>0</v>
      </c>
      <c r="BH16" s="23">
        <f t="shared" si="42"/>
        <v>0</v>
      </c>
      <c r="BI16" s="23"/>
      <c r="BJ16" s="23"/>
      <c r="BK16" s="23">
        <f t="shared" ca="1" si="43"/>
        <v>0</v>
      </c>
      <c r="BL16" s="23">
        <f t="shared" ca="1" si="44"/>
        <v>0</v>
      </c>
      <c r="BM16" s="29">
        <f t="shared" ca="1" si="18"/>
        <v>0</v>
      </c>
      <c r="BN16" s="30">
        <f t="shared" ca="1" si="19"/>
        <v>0</v>
      </c>
    </row>
    <row r="17" spans="1:66" ht="14.4" x14ac:dyDescent="0.3">
      <c r="A17" s="19" t="s">
        <v>32</v>
      </c>
      <c r="B17" s="19" t="s">
        <v>33</v>
      </c>
      <c r="C17" s="19" t="s">
        <v>34</v>
      </c>
      <c r="D17" s="19" t="s">
        <v>67</v>
      </c>
      <c r="E17" s="19" t="s">
        <v>68</v>
      </c>
      <c r="F17" s="19" t="s">
        <v>58</v>
      </c>
      <c r="G17" s="28">
        <v>0</v>
      </c>
      <c r="H17" s="28">
        <v>0</v>
      </c>
      <c r="I17" s="28">
        <v>0</v>
      </c>
      <c r="J17" s="23">
        <f t="shared" si="21"/>
        <v>0</v>
      </c>
      <c r="K17" s="23">
        <f t="shared" si="22"/>
        <v>0</v>
      </c>
      <c r="L17" s="23"/>
      <c r="M17" s="23"/>
      <c r="N17" s="23"/>
      <c r="O17" s="23"/>
      <c r="P17" s="23"/>
      <c r="Q17" s="23">
        <f t="shared" ca="1" si="23"/>
        <v>0</v>
      </c>
      <c r="R17" s="23"/>
      <c r="S17" s="23"/>
      <c r="T17" s="23">
        <f t="shared" ca="1" si="24"/>
        <v>0</v>
      </c>
      <c r="U17" s="23">
        <f t="shared" ca="1" si="25"/>
        <v>0</v>
      </c>
      <c r="V17" s="23">
        <f t="shared" si="26"/>
        <v>0</v>
      </c>
      <c r="W17" s="23"/>
      <c r="X17" s="23"/>
      <c r="Y17" s="23">
        <f t="shared" ca="1" si="27"/>
        <v>0</v>
      </c>
      <c r="Z17" s="23">
        <f t="shared" ca="1" si="28"/>
        <v>0</v>
      </c>
      <c r="AA17" s="29">
        <f t="shared" ca="1" si="5"/>
        <v>0</v>
      </c>
      <c r="AB17" s="30">
        <f t="shared" ca="1" si="20"/>
        <v>0</v>
      </c>
      <c r="AC17" s="23">
        <f t="shared" si="29"/>
        <v>0</v>
      </c>
      <c r="AD17" s="23">
        <f t="shared" si="30"/>
        <v>0</v>
      </c>
      <c r="AE17" s="23"/>
      <c r="AF17" s="23"/>
      <c r="AG17" s="23"/>
      <c r="AH17" s="23"/>
      <c r="AI17" s="23"/>
      <c r="AJ17" s="23">
        <f t="shared" ca="1" si="31"/>
        <v>0</v>
      </c>
      <c r="AK17" s="23"/>
      <c r="AL17" s="23"/>
      <c r="AM17" s="23">
        <f t="shared" ca="1" si="32"/>
        <v>0</v>
      </c>
      <c r="AN17" s="23">
        <f t="shared" ca="1" si="33"/>
        <v>0</v>
      </c>
      <c r="AO17" s="23">
        <f t="shared" si="34"/>
        <v>0</v>
      </c>
      <c r="AP17" s="23"/>
      <c r="AQ17" s="23"/>
      <c r="AR17" s="23">
        <f t="shared" ca="1" si="35"/>
        <v>0</v>
      </c>
      <c r="AS17" s="23">
        <f t="shared" ca="1" si="36"/>
        <v>0</v>
      </c>
      <c r="AT17" s="29">
        <f t="shared" ca="1" si="11"/>
        <v>0</v>
      </c>
      <c r="AU17" s="30">
        <f t="shared" ca="1" si="12"/>
        <v>0</v>
      </c>
      <c r="AV17" s="23">
        <f t="shared" si="37"/>
        <v>0</v>
      </c>
      <c r="AW17" s="23">
        <f t="shared" si="38"/>
        <v>0</v>
      </c>
      <c r="AX17" s="23"/>
      <c r="AY17" s="23"/>
      <c r="AZ17" s="23"/>
      <c r="BA17" s="23"/>
      <c r="BB17" s="23"/>
      <c r="BC17" s="23">
        <f t="shared" ca="1" si="39"/>
        <v>0</v>
      </c>
      <c r="BD17" s="23"/>
      <c r="BE17" s="23"/>
      <c r="BF17" s="23">
        <f t="shared" ca="1" si="40"/>
        <v>0</v>
      </c>
      <c r="BG17" s="23">
        <f t="shared" ca="1" si="41"/>
        <v>0</v>
      </c>
      <c r="BH17" s="23">
        <f t="shared" si="42"/>
        <v>0</v>
      </c>
      <c r="BI17" s="23"/>
      <c r="BJ17" s="23"/>
      <c r="BK17" s="23">
        <f t="shared" ca="1" si="43"/>
        <v>0</v>
      </c>
      <c r="BL17" s="23">
        <f t="shared" ca="1" si="44"/>
        <v>0</v>
      </c>
      <c r="BM17" s="29">
        <f t="shared" ca="1" si="18"/>
        <v>0</v>
      </c>
      <c r="BN17" s="30">
        <f t="shared" ca="1" si="19"/>
        <v>0</v>
      </c>
    </row>
    <row r="18" spans="1:66" ht="14.4" x14ac:dyDescent="0.3">
      <c r="A18" s="19" t="s">
        <v>32</v>
      </c>
      <c r="B18" s="19" t="s">
        <v>33</v>
      </c>
      <c r="C18" s="19" t="s">
        <v>34</v>
      </c>
      <c r="D18" s="19" t="s">
        <v>69</v>
      </c>
      <c r="E18" s="19" t="s">
        <v>70</v>
      </c>
      <c r="F18" s="19" t="s">
        <v>58</v>
      </c>
      <c r="G18" s="28">
        <v>0</v>
      </c>
      <c r="H18" s="28">
        <v>0</v>
      </c>
      <c r="I18" s="28">
        <v>0</v>
      </c>
      <c r="J18" s="23">
        <f t="shared" si="21"/>
        <v>0</v>
      </c>
      <c r="K18" s="23">
        <f t="shared" si="22"/>
        <v>0</v>
      </c>
      <c r="L18" s="23"/>
      <c r="M18" s="23"/>
      <c r="N18" s="23"/>
      <c r="O18" s="23"/>
      <c r="P18" s="23"/>
      <c r="Q18" s="23">
        <f t="shared" ca="1" si="23"/>
        <v>0</v>
      </c>
      <c r="R18" s="23"/>
      <c r="S18" s="23"/>
      <c r="T18" s="23">
        <f t="shared" ca="1" si="24"/>
        <v>0</v>
      </c>
      <c r="U18" s="23">
        <f t="shared" ca="1" si="25"/>
        <v>0</v>
      </c>
      <c r="V18" s="23">
        <f t="shared" si="26"/>
        <v>0</v>
      </c>
      <c r="W18" s="23"/>
      <c r="X18" s="23"/>
      <c r="Y18" s="23">
        <f t="shared" ca="1" si="27"/>
        <v>0</v>
      </c>
      <c r="Z18" s="23">
        <f t="shared" ca="1" si="28"/>
        <v>0</v>
      </c>
      <c r="AA18" s="29">
        <f t="shared" ca="1" si="5"/>
        <v>0</v>
      </c>
      <c r="AB18" s="30">
        <f t="shared" ca="1" si="20"/>
        <v>0</v>
      </c>
      <c r="AC18" s="23">
        <f t="shared" si="29"/>
        <v>0</v>
      </c>
      <c r="AD18" s="23">
        <f t="shared" si="30"/>
        <v>0</v>
      </c>
      <c r="AE18" s="23"/>
      <c r="AF18" s="23"/>
      <c r="AG18" s="23"/>
      <c r="AH18" s="23"/>
      <c r="AI18" s="23"/>
      <c r="AJ18" s="23">
        <f t="shared" ca="1" si="31"/>
        <v>0</v>
      </c>
      <c r="AK18" s="23"/>
      <c r="AL18" s="23"/>
      <c r="AM18" s="23">
        <f t="shared" ca="1" si="32"/>
        <v>0</v>
      </c>
      <c r="AN18" s="23">
        <f t="shared" ca="1" si="33"/>
        <v>0</v>
      </c>
      <c r="AO18" s="23">
        <f t="shared" si="34"/>
        <v>0</v>
      </c>
      <c r="AP18" s="23"/>
      <c r="AQ18" s="23"/>
      <c r="AR18" s="23">
        <f t="shared" ca="1" si="35"/>
        <v>0</v>
      </c>
      <c r="AS18" s="23">
        <f t="shared" ca="1" si="36"/>
        <v>0</v>
      </c>
      <c r="AT18" s="29">
        <f t="shared" ca="1" si="11"/>
        <v>0</v>
      </c>
      <c r="AU18" s="30">
        <f t="shared" ca="1" si="12"/>
        <v>0</v>
      </c>
      <c r="AV18" s="23">
        <f t="shared" si="37"/>
        <v>0</v>
      </c>
      <c r="AW18" s="23">
        <f t="shared" si="38"/>
        <v>0</v>
      </c>
      <c r="AX18" s="23"/>
      <c r="AY18" s="23"/>
      <c r="AZ18" s="23"/>
      <c r="BA18" s="23"/>
      <c r="BB18" s="23"/>
      <c r="BC18" s="23">
        <f t="shared" ca="1" si="39"/>
        <v>0</v>
      </c>
      <c r="BD18" s="23"/>
      <c r="BE18" s="23"/>
      <c r="BF18" s="23">
        <f t="shared" ca="1" si="40"/>
        <v>0</v>
      </c>
      <c r="BG18" s="23">
        <f t="shared" ca="1" si="41"/>
        <v>0</v>
      </c>
      <c r="BH18" s="23">
        <f t="shared" si="42"/>
        <v>0</v>
      </c>
      <c r="BI18" s="23"/>
      <c r="BJ18" s="23"/>
      <c r="BK18" s="23">
        <f t="shared" ca="1" si="43"/>
        <v>0</v>
      </c>
      <c r="BL18" s="23">
        <f t="shared" ca="1" si="44"/>
        <v>0</v>
      </c>
      <c r="BM18" s="29">
        <f t="shared" ca="1" si="18"/>
        <v>0</v>
      </c>
      <c r="BN18" s="30">
        <f t="shared" ca="1" si="19"/>
        <v>0</v>
      </c>
    </row>
    <row r="19" spans="1:66" ht="14.4" x14ac:dyDescent="0.3">
      <c r="A19" s="19" t="s">
        <v>32</v>
      </c>
      <c r="B19" s="19" t="s">
        <v>33</v>
      </c>
      <c r="C19" s="19" t="s">
        <v>34</v>
      </c>
      <c r="D19" s="19" t="s">
        <v>71</v>
      </c>
      <c r="E19" s="19" t="s">
        <v>72</v>
      </c>
      <c r="F19" s="19" t="s">
        <v>58</v>
      </c>
      <c r="G19" s="28">
        <v>0</v>
      </c>
      <c r="H19" s="28">
        <v>0</v>
      </c>
      <c r="I19" s="28">
        <v>0</v>
      </c>
      <c r="J19" s="23">
        <f t="shared" si="21"/>
        <v>0</v>
      </c>
      <c r="K19" s="23">
        <f t="shared" si="22"/>
        <v>0</v>
      </c>
      <c r="L19" s="23"/>
      <c r="M19" s="23"/>
      <c r="N19" s="23"/>
      <c r="O19" s="23"/>
      <c r="P19" s="23"/>
      <c r="Q19" s="23">
        <f t="shared" ca="1" si="23"/>
        <v>0</v>
      </c>
      <c r="R19" s="23"/>
      <c r="S19" s="23"/>
      <c r="T19" s="23">
        <f t="shared" ca="1" si="24"/>
        <v>0</v>
      </c>
      <c r="U19" s="23">
        <f t="shared" ca="1" si="25"/>
        <v>0</v>
      </c>
      <c r="V19" s="23">
        <f t="shared" si="26"/>
        <v>0</v>
      </c>
      <c r="W19" s="23"/>
      <c r="X19" s="23"/>
      <c r="Y19" s="23">
        <f t="shared" ca="1" si="27"/>
        <v>0</v>
      </c>
      <c r="Z19" s="23">
        <f t="shared" ca="1" si="28"/>
        <v>0</v>
      </c>
      <c r="AA19" s="29">
        <f t="shared" ca="1" si="5"/>
        <v>0</v>
      </c>
      <c r="AB19" s="30">
        <f t="shared" ca="1" si="20"/>
        <v>0</v>
      </c>
      <c r="AC19" s="23">
        <f t="shared" si="29"/>
        <v>0</v>
      </c>
      <c r="AD19" s="23">
        <f t="shared" si="30"/>
        <v>0</v>
      </c>
      <c r="AE19" s="23"/>
      <c r="AF19" s="23"/>
      <c r="AG19" s="23"/>
      <c r="AH19" s="23"/>
      <c r="AI19" s="23"/>
      <c r="AJ19" s="23">
        <f t="shared" ca="1" si="31"/>
        <v>0</v>
      </c>
      <c r="AK19" s="23"/>
      <c r="AL19" s="23"/>
      <c r="AM19" s="23">
        <f t="shared" ca="1" si="32"/>
        <v>0</v>
      </c>
      <c r="AN19" s="23">
        <f t="shared" ca="1" si="33"/>
        <v>0</v>
      </c>
      <c r="AO19" s="23">
        <f t="shared" si="34"/>
        <v>0</v>
      </c>
      <c r="AP19" s="23"/>
      <c r="AQ19" s="23"/>
      <c r="AR19" s="23">
        <f t="shared" ca="1" si="35"/>
        <v>0</v>
      </c>
      <c r="AS19" s="23">
        <f t="shared" ca="1" si="36"/>
        <v>0</v>
      </c>
      <c r="AT19" s="29">
        <f t="shared" ca="1" si="11"/>
        <v>0</v>
      </c>
      <c r="AU19" s="30">
        <f t="shared" ca="1" si="12"/>
        <v>0</v>
      </c>
      <c r="AV19" s="23">
        <f t="shared" si="37"/>
        <v>0</v>
      </c>
      <c r="AW19" s="23">
        <f t="shared" si="38"/>
        <v>0</v>
      </c>
      <c r="AX19" s="23"/>
      <c r="AY19" s="23"/>
      <c r="AZ19" s="23"/>
      <c r="BA19" s="23"/>
      <c r="BB19" s="23"/>
      <c r="BC19" s="23">
        <f t="shared" ca="1" si="39"/>
        <v>0</v>
      </c>
      <c r="BD19" s="23"/>
      <c r="BE19" s="23"/>
      <c r="BF19" s="23">
        <f t="shared" ca="1" si="40"/>
        <v>0</v>
      </c>
      <c r="BG19" s="23">
        <f t="shared" ca="1" si="41"/>
        <v>0</v>
      </c>
      <c r="BH19" s="23">
        <f t="shared" si="42"/>
        <v>0</v>
      </c>
      <c r="BI19" s="23"/>
      <c r="BJ19" s="23"/>
      <c r="BK19" s="23">
        <f t="shared" ca="1" si="43"/>
        <v>0</v>
      </c>
      <c r="BL19" s="23">
        <f t="shared" ca="1" si="44"/>
        <v>0</v>
      </c>
      <c r="BM19" s="29">
        <f t="shared" ca="1" si="18"/>
        <v>0</v>
      </c>
      <c r="BN19" s="30">
        <f t="shared" ca="1" si="19"/>
        <v>0</v>
      </c>
    </row>
    <row r="20" spans="1:66" ht="14.4" x14ac:dyDescent="0.3">
      <c r="A20" s="19" t="s">
        <v>32</v>
      </c>
      <c r="B20" s="19" t="s">
        <v>33</v>
      </c>
      <c r="C20" s="19" t="s">
        <v>34</v>
      </c>
      <c r="D20" s="19" t="s">
        <v>73</v>
      </c>
      <c r="E20" s="19" t="s">
        <v>74</v>
      </c>
      <c r="F20" s="19" t="s">
        <v>58</v>
      </c>
      <c r="G20" s="28">
        <v>0</v>
      </c>
      <c r="H20" s="28">
        <v>0</v>
      </c>
      <c r="I20" s="28">
        <v>0</v>
      </c>
      <c r="J20" s="23">
        <f t="shared" si="21"/>
        <v>0</v>
      </c>
      <c r="K20" s="23">
        <f t="shared" si="22"/>
        <v>0</v>
      </c>
      <c r="L20" s="23"/>
      <c r="M20" s="23"/>
      <c r="N20" s="23"/>
      <c r="O20" s="23"/>
      <c r="P20" s="23"/>
      <c r="Q20" s="23">
        <f t="shared" ca="1" si="23"/>
        <v>0</v>
      </c>
      <c r="R20" s="23"/>
      <c r="S20" s="23"/>
      <c r="T20" s="23">
        <f t="shared" ca="1" si="24"/>
        <v>0</v>
      </c>
      <c r="U20" s="23">
        <f t="shared" ca="1" si="25"/>
        <v>0</v>
      </c>
      <c r="V20" s="23">
        <f t="shared" si="26"/>
        <v>0</v>
      </c>
      <c r="W20" s="23"/>
      <c r="X20" s="23"/>
      <c r="Y20" s="23">
        <f t="shared" ca="1" si="27"/>
        <v>0</v>
      </c>
      <c r="Z20" s="23">
        <f t="shared" ca="1" si="28"/>
        <v>0</v>
      </c>
      <c r="AA20" s="29">
        <f t="shared" ca="1" si="5"/>
        <v>0</v>
      </c>
      <c r="AB20" s="30">
        <f t="shared" ca="1" si="20"/>
        <v>0</v>
      </c>
      <c r="AC20" s="23">
        <f t="shared" si="29"/>
        <v>0</v>
      </c>
      <c r="AD20" s="23">
        <f t="shared" si="30"/>
        <v>0</v>
      </c>
      <c r="AE20" s="23"/>
      <c r="AF20" s="23"/>
      <c r="AG20" s="23"/>
      <c r="AH20" s="23"/>
      <c r="AI20" s="23"/>
      <c r="AJ20" s="23">
        <f t="shared" ca="1" si="31"/>
        <v>0</v>
      </c>
      <c r="AK20" s="23"/>
      <c r="AL20" s="23"/>
      <c r="AM20" s="23">
        <f t="shared" ca="1" si="32"/>
        <v>0</v>
      </c>
      <c r="AN20" s="23">
        <f t="shared" ca="1" si="33"/>
        <v>0</v>
      </c>
      <c r="AO20" s="23">
        <f t="shared" si="34"/>
        <v>0</v>
      </c>
      <c r="AP20" s="23"/>
      <c r="AQ20" s="23"/>
      <c r="AR20" s="23">
        <f t="shared" ca="1" si="35"/>
        <v>0</v>
      </c>
      <c r="AS20" s="23">
        <f t="shared" ca="1" si="36"/>
        <v>0</v>
      </c>
      <c r="AT20" s="29">
        <f t="shared" ca="1" si="11"/>
        <v>0</v>
      </c>
      <c r="AU20" s="30">
        <f t="shared" ca="1" si="12"/>
        <v>0</v>
      </c>
      <c r="AV20" s="23">
        <f t="shared" si="37"/>
        <v>0</v>
      </c>
      <c r="AW20" s="23">
        <f t="shared" si="38"/>
        <v>0</v>
      </c>
      <c r="AX20" s="23"/>
      <c r="AY20" s="23"/>
      <c r="AZ20" s="23"/>
      <c r="BA20" s="23"/>
      <c r="BB20" s="23"/>
      <c r="BC20" s="23">
        <f t="shared" ca="1" si="39"/>
        <v>0</v>
      </c>
      <c r="BD20" s="23"/>
      <c r="BE20" s="23"/>
      <c r="BF20" s="23">
        <f t="shared" ca="1" si="40"/>
        <v>0</v>
      </c>
      <c r="BG20" s="23">
        <f t="shared" ca="1" si="41"/>
        <v>0</v>
      </c>
      <c r="BH20" s="23">
        <f t="shared" si="42"/>
        <v>0</v>
      </c>
      <c r="BI20" s="23"/>
      <c r="BJ20" s="23"/>
      <c r="BK20" s="23">
        <f t="shared" ca="1" si="43"/>
        <v>0</v>
      </c>
      <c r="BL20" s="23">
        <f t="shared" ca="1" si="44"/>
        <v>0</v>
      </c>
      <c r="BM20" s="29">
        <f t="shared" ca="1" si="18"/>
        <v>0</v>
      </c>
      <c r="BN20" s="30">
        <f t="shared" ca="1" si="19"/>
        <v>0</v>
      </c>
    </row>
    <row r="21" spans="1:66" ht="14.4" x14ac:dyDescent="0.3">
      <c r="A21" s="19" t="s">
        <v>32</v>
      </c>
      <c r="B21" s="19" t="s">
        <v>33</v>
      </c>
      <c r="C21" s="19" t="s">
        <v>34</v>
      </c>
      <c r="D21" s="20" t="s">
        <v>75</v>
      </c>
      <c r="E21" s="19" t="s">
        <v>76</v>
      </c>
      <c r="F21" s="19" t="s">
        <v>58</v>
      </c>
      <c r="G21" s="28">
        <v>0</v>
      </c>
      <c r="H21" s="28">
        <v>0</v>
      </c>
      <c r="I21" s="28">
        <v>0</v>
      </c>
      <c r="J21" s="23">
        <f t="shared" si="21"/>
        <v>0</v>
      </c>
      <c r="K21" s="23">
        <f t="shared" si="22"/>
        <v>0</v>
      </c>
      <c r="L21" s="23"/>
      <c r="M21" s="23"/>
      <c r="N21" s="23"/>
      <c r="O21" s="23"/>
      <c r="P21" s="23"/>
      <c r="Q21" s="23">
        <f t="shared" ca="1" si="23"/>
        <v>0</v>
      </c>
      <c r="R21" s="23"/>
      <c r="S21" s="23"/>
      <c r="T21" s="23">
        <f t="shared" ca="1" si="24"/>
        <v>0</v>
      </c>
      <c r="U21" s="23">
        <f t="shared" ca="1" si="25"/>
        <v>0</v>
      </c>
      <c r="V21" s="23">
        <f t="shared" si="26"/>
        <v>0</v>
      </c>
      <c r="W21" s="23"/>
      <c r="X21" s="23"/>
      <c r="Y21" s="23">
        <f t="shared" ca="1" si="27"/>
        <v>0</v>
      </c>
      <c r="Z21" s="23">
        <f t="shared" ca="1" si="28"/>
        <v>0</v>
      </c>
      <c r="AA21" s="29">
        <f t="shared" ca="1" si="5"/>
        <v>0</v>
      </c>
      <c r="AB21" s="30">
        <f t="shared" ca="1" si="20"/>
        <v>0</v>
      </c>
      <c r="AC21" s="23">
        <f t="shared" si="29"/>
        <v>0</v>
      </c>
      <c r="AD21" s="23">
        <f t="shared" si="30"/>
        <v>0</v>
      </c>
      <c r="AE21" s="23"/>
      <c r="AF21" s="23"/>
      <c r="AG21" s="23"/>
      <c r="AH21" s="23"/>
      <c r="AI21" s="23"/>
      <c r="AJ21" s="23">
        <f t="shared" ca="1" si="31"/>
        <v>0</v>
      </c>
      <c r="AK21" s="23"/>
      <c r="AL21" s="23"/>
      <c r="AM21" s="23">
        <f t="shared" ca="1" si="32"/>
        <v>0</v>
      </c>
      <c r="AN21" s="23">
        <f t="shared" ca="1" si="33"/>
        <v>0</v>
      </c>
      <c r="AO21" s="23">
        <f t="shared" si="34"/>
        <v>0</v>
      </c>
      <c r="AP21" s="23"/>
      <c r="AQ21" s="23"/>
      <c r="AR21" s="23">
        <f t="shared" ca="1" si="35"/>
        <v>0</v>
      </c>
      <c r="AS21" s="23">
        <f t="shared" ca="1" si="36"/>
        <v>0</v>
      </c>
      <c r="AT21" s="29">
        <f t="shared" ca="1" si="11"/>
        <v>0</v>
      </c>
      <c r="AU21" s="30">
        <f t="shared" ca="1" si="12"/>
        <v>0</v>
      </c>
      <c r="AV21" s="23">
        <f t="shared" si="37"/>
        <v>0</v>
      </c>
      <c r="AW21" s="23">
        <f t="shared" si="38"/>
        <v>0</v>
      </c>
      <c r="AX21" s="23"/>
      <c r="AY21" s="23"/>
      <c r="AZ21" s="23"/>
      <c r="BA21" s="23"/>
      <c r="BB21" s="23"/>
      <c r="BC21" s="23">
        <f t="shared" ca="1" si="39"/>
        <v>0</v>
      </c>
      <c r="BD21" s="23"/>
      <c r="BE21" s="23"/>
      <c r="BF21" s="23">
        <f t="shared" ca="1" si="40"/>
        <v>0</v>
      </c>
      <c r="BG21" s="23">
        <f t="shared" ca="1" si="41"/>
        <v>0</v>
      </c>
      <c r="BH21" s="23">
        <f t="shared" si="42"/>
        <v>0</v>
      </c>
      <c r="BI21" s="23"/>
      <c r="BJ21" s="23"/>
      <c r="BK21" s="23">
        <f t="shared" ca="1" si="43"/>
        <v>0</v>
      </c>
      <c r="BL21" s="23">
        <f t="shared" ca="1" si="44"/>
        <v>0</v>
      </c>
      <c r="BM21" s="29">
        <f t="shared" ca="1" si="18"/>
        <v>0</v>
      </c>
      <c r="BN21" s="30">
        <f t="shared" ca="1" si="19"/>
        <v>0</v>
      </c>
    </row>
    <row r="22" spans="1:66" ht="14.4" x14ac:dyDescent="0.3">
      <c r="A22" s="19" t="s">
        <v>32</v>
      </c>
      <c r="B22" s="19" t="s">
        <v>33</v>
      </c>
      <c r="C22" s="19" t="s">
        <v>34</v>
      </c>
      <c r="D22" s="19" t="s">
        <v>77</v>
      </c>
      <c r="E22" s="25" t="s">
        <v>78</v>
      </c>
      <c r="F22" s="19" t="s">
        <v>58</v>
      </c>
      <c r="G22" s="28">
        <v>2864.6600000000003</v>
      </c>
      <c r="H22" s="28">
        <v>4837.57</v>
      </c>
      <c r="I22" s="28">
        <v>2.98</v>
      </c>
      <c r="J22" s="23">
        <f t="shared" si="21"/>
        <v>0</v>
      </c>
      <c r="K22" s="23">
        <f t="shared" si="22"/>
        <v>0</v>
      </c>
      <c r="L22" s="23"/>
      <c r="M22" s="23"/>
      <c r="N22" s="23"/>
      <c r="O22" s="23"/>
      <c r="P22" s="23"/>
      <c r="Q22" s="23">
        <f t="shared" ca="1" si="23"/>
        <v>2062.492509781664</v>
      </c>
      <c r="R22" s="23"/>
      <c r="S22" s="23"/>
      <c r="T22" s="23">
        <f t="shared" ca="1" si="24"/>
        <v>1744.4510074854932</v>
      </c>
      <c r="U22" s="23">
        <f t="shared" ca="1" si="25"/>
        <v>5949.6396226896368</v>
      </c>
      <c r="V22" s="23">
        <f t="shared" si="26"/>
        <v>0</v>
      </c>
      <c r="W22" s="23"/>
      <c r="X22" s="23"/>
      <c r="Y22" s="23">
        <f t="shared" ca="1" si="27"/>
        <v>11.63224244096225</v>
      </c>
      <c r="Z22" s="23">
        <f t="shared" ca="1" si="28"/>
        <v>1.1139227344486931</v>
      </c>
      <c r="AA22" s="29">
        <f t="shared" ca="1" si="5"/>
        <v>27081.219048158786</v>
      </c>
      <c r="AB22" s="30">
        <f t="shared" ca="1" si="20"/>
        <v>299.65541503584399</v>
      </c>
      <c r="AC22" s="23">
        <f t="shared" si="29"/>
        <v>0</v>
      </c>
      <c r="AD22" s="23">
        <f t="shared" si="30"/>
        <v>0</v>
      </c>
      <c r="AE22" s="23"/>
      <c r="AF22" s="23"/>
      <c r="AG22" s="23"/>
      <c r="AH22" s="23"/>
      <c r="AI22" s="23"/>
      <c r="AJ22" s="23">
        <f t="shared" ca="1" si="31"/>
        <v>3482.9445346199841</v>
      </c>
      <c r="AK22" s="23"/>
      <c r="AL22" s="23"/>
      <c r="AM22" s="23">
        <f t="shared" ca="1" si="32"/>
        <v>2945.8657782360197</v>
      </c>
      <c r="AN22" s="23">
        <f t="shared" ca="1" si="33"/>
        <v>10047.195181813793</v>
      </c>
      <c r="AO22" s="23">
        <f t="shared" si="34"/>
        <v>0</v>
      </c>
      <c r="AP22" s="23"/>
      <c r="AQ22" s="23"/>
      <c r="AR22" s="23">
        <f t="shared" ca="1" si="35"/>
        <v>19.643443572754094</v>
      </c>
      <c r="AS22" s="23">
        <f t="shared" ca="1" si="36"/>
        <v>1.8810885768248111</v>
      </c>
      <c r="AT22" s="29">
        <f t="shared" ca="1" si="11"/>
        <v>45732.230991043085</v>
      </c>
      <c r="AU22" s="30">
        <f t="shared" ca="1" si="12"/>
        <v>506.03005107585108</v>
      </c>
      <c r="AV22" s="23">
        <f t="shared" si="37"/>
        <v>0</v>
      </c>
      <c r="AW22" s="23">
        <f t="shared" si="38"/>
        <v>0</v>
      </c>
      <c r="AX22" s="23"/>
      <c r="AY22" s="23"/>
      <c r="AZ22" s="23"/>
      <c r="BA22" s="23"/>
      <c r="BB22" s="23"/>
      <c r="BC22" s="23">
        <f t="shared" ca="1" si="39"/>
        <v>2.2523126189415583</v>
      </c>
      <c r="BD22" s="23"/>
      <c r="BE22" s="23"/>
      <c r="BF22" s="23">
        <f t="shared" ca="1" si="40"/>
        <v>1.4321142944024206</v>
      </c>
      <c r="BG22" s="23">
        <f t="shared" ca="1" si="41"/>
        <v>6.0723316856784404</v>
      </c>
      <c r="BH22" s="23">
        <f t="shared" si="42"/>
        <v>0</v>
      </c>
      <c r="BI22" s="23"/>
      <c r="BJ22" s="23"/>
      <c r="BK22" s="23">
        <f t="shared" ca="1" si="43"/>
        <v>1.557016859373748E-2</v>
      </c>
      <c r="BL22" s="23">
        <f t="shared" ca="1" si="44"/>
        <v>1.1812229477695649E-3</v>
      </c>
      <c r="BM22" s="29">
        <f t="shared" ca="1" si="18"/>
        <v>26.72825759686172</v>
      </c>
      <c r="BN22" s="30">
        <f t="shared" ca="1" si="19"/>
        <v>0.36995817073544024</v>
      </c>
    </row>
    <row r="23" spans="1:66" ht="14.4" x14ac:dyDescent="0.3">
      <c r="A23" s="26" t="s">
        <v>32</v>
      </c>
      <c r="B23" s="26" t="s">
        <v>33</v>
      </c>
      <c r="C23" s="26" t="s">
        <v>34</v>
      </c>
      <c r="D23" s="26" t="s">
        <v>79</v>
      </c>
      <c r="E23" s="27" t="s">
        <v>80</v>
      </c>
      <c r="F23" s="26" t="s">
        <v>81</v>
      </c>
      <c r="G23" s="28">
        <v>1993.55</v>
      </c>
      <c r="H23" s="31">
        <v>4621.892942491927</v>
      </c>
      <c r="I23" s="31">
        <v>44.318230971740896</v>
      </c>
      <c r="J23" s="32"/>
      <c r="K23" s="32"/>
      <c r="L23" s="32">
        <f>G23*L$4</f>
        <v>0</v>
      </c>
      <c r="M23" s="32">
        <f>(G23+L23)*M$4</f>
        <v>0</v>
      </c>
      <c r="N23" s="32"/>
      <c r="O23" s="32"/>
      <c r="P23" s="32"/>
      <c r="Q23" s="32">
        <f t="shared" ca="1" si="23"/>
        <v>786.99444752856562</v>
      </c>
      <c r="R23" s="32"/>
      <c r="S23" s="32"/>
      <c r="T23" s="32">
        <f t="shared" ca="1" si="24"/>
        <v>665.63793583038421</v>
      </c>
      <c r="U23" s="32">
        <f t="shared" ca="1" si="25"/>
        <v>2270.230473878602</v>
      </c>
      <c r="V23" s="32"/>
      <c r="W23" s="32">
        <f>(G23+L23)*W$4</f>
        <v>0</v>
      </c>
      <c r="X23" s="32"/>
      <c r="Y23" s="32">
        <f t="shared" ca="1" si="27"/>
        <v>4.438566525660991</v>
      </c>
      <c r="Z23" s="32">
        <f t="shared" ca="1" si="28"/>
        <v>0.42504445607890268</v>
      </c>
      <c r="AA23" s="33">
        <f t="shared" ca="1" si="5"/>
        <v>10333.501296187478</v>
      </c>
      <c r="AB23" s="34">
        <f ca="1">SUM(V23:Z23)</f>
        <v>39.435961912821888</v>
      </c>
      <c r="AC23" s="32"/>
      <c r="AD23" s="32"/>
      <c r="AE23" s="32">
        <f>H23*AE$4</f>
        <v>0</v>
      </c>
      <c r="AF23" s="32">
        <f>(H23+AE23)*AF$4</f>
        <v>0</v>
      </c>
      <c r="AG23" s="32"/>
      <c r="AH23" s="32"/>
      <c r="AI23" s="32"/>
      <c r="AJ23" s="32">
        <f t="shared" ca="1" si="31"/>
        <v>1824.5863323280632</v>
      </c>
      <c r="AK23" s="32"/>
      <c r="AL23" s="32"/>
      <c r="AM23" s="32">
        <f t="shared" ca="1" si="32"/>
        <v>1543.2305574825548</v>
      </c>
      <c r="AN23" s="32">
        <f t="shared" ca="1" si="33"/>
        <v>5263.355423766453</v>
      </c>
      <c r="AO23" s="32"/>
      <c r="AP23" s="32">
        <f>(H23+AE23)*AP$4</f>
        <v>0</v>
      </c>
      <c r="AQ23" s="32"/>
      <c r="AR23" s="32">
        <f t="shared" ca="1" si="35"/>
        <v>10.290476436374028</v>
      </c>
      <c r="AS23" s="32">
        <f t="shared" ca="1" si="36"/>
        <v>0.98543300734689376</v>
      </c>
      <c r="AT23" s="33">
        <f t="shared" ca="1" si="11"/>
        <v>23957.431071244806</v>
      </c>
      <c r="AU23" s="34">
        <f t="shared" ca="1" si="12"/>
        <v>91.429256374433521</v>
      </c>
      <c r="AV23" s="32"/>
      <c r="AW23" s="32"/>
      <c r="AX23" s="32">
        <f>I23*AX$4</f>
        <v>0</v>
      </c>
      <c r="AY23" s="32">
        <f>(I23+AX23)*AY$4</f>
        <v>0</v>
      </c>
      <c r="AZ23" s="32"/>
      <c r="BA23" s="32"/>
      <c r="BB23" s="32"/>
      <c r="BC23" s="32">
        <f t="shared" ca="1" si="39"/>
        <v>20.983261119444272</v>
      </c>
      <c r="BD23" s="32"/>
      <c r="BE23" s="32"/>
      <c r="BF23" s="32">
        <f t="shared" ca="1" si="40"/>
        <v>13.342032513433434</v>
      </c>
      <c r="BG23" s="32">
        <f t="shared" ca="1" si="41"/>
        <v>56.571774403299237</v>
      </c>
      <c r="BH23" s="32"/>
      <c r="BI23" s="32">
        <f>(I23+AX23)*BI$4</f>
        <v>0</v>
      </c>
      <c r="BJ23" s="32"/>
      <c r="BK23" s="32">
        <f t="shared" ca="1" si="43"/>
        <v>0.14505664556889886</v>
      </c>
      <c r="BL23" s="32">
        <f t="shared" ca="1" si="44"/>
        <v>1.1004648886164054E-2</v>
      </c>
      <c r="BM23" s="33">
        <f ca="1">SUM(AV23:BG23)+I23</f>
        <v>249.00895360000288</v>
      </c>
      <c r="BN23" s="34">
        <f ca="1">SUM(BH23:BL23)</f>
        <v>0.85906820689146091</v>
      </c>
    </row>
    <row r="24" spans="1:66" ht="14.4" x14ac:dyDescent="0.3">
      <c r="A24" s="26" t="s">
        <v>32</v>
      </c>
      <c r="B24" s="26" t="s">
        <v>33</v>
      </c>
      <c r="C24" s="26" t="s">
        <v>34</v>
      </c>
      <c r="D24" s="26" t="s">
        <v>82</v>
      </c>
      <c r="E24" s="27" t="s">
        <v>83</v>
      </c>
      <c r="F24" s="26" t="s">
        <v>81</v>
      </c>
      <c r="G24" s="28">
        <v>0</v>
      </c>
      <c r="H24" s="31">
        <v>102.18834109927316</v>
      </c>
      <c r="I24" s="31"/>
      <c r="J24" s="32"/>
      <c r="K24" s="32"/>
      <c r="L24" s="32">
        <f>G24*L$4</f>
        <v>0</v>
      </c>
      <c r="M24" s="32">
        <f>(G24+L24)*M$4</f>
        <v>0</v>
      </c>
      <c r="N24" s="32"/>
      <c r="O24" s="32"/>
      <c r="P24" s="32"/>
      <c r="Q24" s="32">
        <f t="shared" ca="1" si="23"/>
        <v>0</v>
      </c>
      <c r="R24" s="32"/>
      <c r="S24" s="32"/>
      <c r="T24" s="32">
        <f t="shared" ca="1" si="24"/>
        <v>0</v>
      </c>
      <c r="U24" s="32">
        <f t="shared" ca="1" si="25"/>
        <v>0</v>
      </c>
      <c r="V24" s="32"/>
      <c r="W24" s="32">
        <f>(G24+L24)*W$4</f>
        <v>0</v>
      </c>
      <c r="X24" s="32"/>
      <c r="Y24" s="32">
        <f t="shared" ca="1" si="27"/>
        <v>0</v>
      </c>
      <c r="Z24" s="32">
        <f t="shared" ca="1" si="28"/>
        <v>0</v>
      </c>
      <c r="AA24" s="33">
        <f t="shared" ca="1" si="5"/>
        <v>0</v>
      </c>
      <c r="AB24" s="34">
        <f ca="1">SUM(V24:Z24)</f>
        <v>0</v>
      </c>
      <c r="AC24" s="32"/>
      <c r="AD24" s="32"/>
      <c r="AE24" s="32">
        <f>H24*AE$4</f>
        <v>0</v>
      </c>
      <c r="AF24" s="32">
        <f>(H24+AE24)*AF$4</f>
        <v>0</v>
      </c>
      <c r="AG24" s="32"/>
      <c r="AH24" s="32"/>
      <c r="AI24" s="32"/>
      <c r="AJ24" s="32">
        <f t="shared" ca="1" si="31"/>
        <v>40.340928016494743</v>
      </c>
      <c r="AK24" s="32"/>
      <c r="AL24" s="32"/>
      <c r="AM24" s="32">
        <f t="shared" ca="1" si="32"/>
        <v>34.120256043365551</v>
      </c>
      <c r="AN24" s="32">
        <f t="shared" ca="1" si="33"/>
        <v>116.37083897503003</v>
      </c>
      <c r="AO24" s="32"/>
      <c r="AP24" s="32">
        <f>(H24+AE24)*AP$4</f>
        <v>0</v>
      </c>
      <c r="AQ24" s="32"/>
      <c r="AR24" s="32">
        <f t="shared" ca="1" si="35"/>
        <v>0.22751862261596706</v>
      </c>
      <c r="AS24" s="32">
        <f t="shared" ca="1" si="36"/>
        <v>2.178755880722627E-2</v>
      </c>
      <c r="AT24" s="33">
        <f t="shared" ca="1" si="11"/>
        <v>529.68992761886454</v>
      </c>
      <c r="AU24" s="34">
        <f t="shared" ca="1" si="12"/>
        <v>2.021466994820992</v>
      </c>
      <c r="AV24" s="32"/>
      <c r="AW24" s="32"/>
      <c r="AX24" s="32">
        <f>I24*AX$4</f>
        <v>0</v>
      </c>
      <c r="AY24" s="32">
        <f>(I24+AX24)*AY$4</f>
        <v>0</v>
      </c>
      <c r="AZ24" s="32"/>
      <c r="BA24" s="32"/>
      <c r="BB24" s="32"/>
      <c r="BC24" s="32">
        <f t="shared" ca="1" si="39"/>
        <v>0</v>
      </c>
      <c r="BD24" s="32"/>
      <c r="BE24" s="32"/>
      <c r="BF24" s="32">
        <f t="shared" ca="1" si="40"/>
        <v>0</v>
      </c>
      <c r="BG24" s="32">
        <f t="shared" ca="1" si="41"/>
        <v>0</v>
      </c>
      <c r="BH24" s="32"/>
      <c r="BI24" s="32">
        <f>(I24+AX24)*BI$4</f>
        <v>0</v>
      </c>
      <c r="BJ24" s="32"/>
      <c r="BK24" s="32">
        <f t="shared" ca="1" si="43"/>
        <v>0</v>
      </c>
      <c r="BL24" s="32">
        <f t="shared" ca="1" si="44"/>
        <v>0</v>
      </c>
      <c r="BM24" s="33">
        <f ca="1">SUM(AV24:BG24)+I24</f>
        <v>0</v>
      </c>
      <c r="BN24" s="34">
        <f ca="1">SUM(BH24:BL24)</f>
        <v>0</v>
      </c>
    </row>
    <row r="25" spans="1:66" ht="14.4" x14ac:dyDescent="0.3">
      <c r="A25" s="19" t="s">
        <v>32</v>
      </c>
      <c r="B25" s="19" t="s">
        <v>33</v>
      </c>
      <c r="C25" s="19" t="s">
        <v>34</v>
      </c>
      <c r="D25" s="20" t="s">
        <v>84</v>
      </c>
      <c r="E25" s="19" t="s">
        <v>85</v>
      </c>
      <c r="F25" s="19" t="s">
        <v>86</v>
      </c>
      <c r="G25" s="28">
        <v>263.90193866157693</v>
      </c>
      <c r="H25" s="28">
        <v>549.98145421932293</v>
      </c>
      <c r="I25" s="28">
        <v>92.165201926545123</v>
      </c>
      <c r="J25" s="23"/>
      <c r="K25" s="23"/>
      <c r="L25" s="23">
        <f>G25*L$4</f>
        <v>0</v>
      </c>
      <c r="M25" s="23">
        <f>(G25+L25)*M$4</f>
        <v>0</v>
      </c>
      <c r="N25" s="23"/>
      <c r="O25" s="23"/>
      <c r="P25" s="23"/>
      <c r="Q25" s="23">
        <f t="shared" ca="1" si="23"/>
        <v>104.18066284702422</v>
      </c>
      <c r="R25" s="23"/>
      <c r="S25" s="23"/>
      <c r="T25" s="23">
        <f t="shared" ca="1" si="24"/>
        <v>88.115744130986798</v>
      </c>
      <c r="U25" s="23">
        <f t="shared" ca="1" si="25"/>
        <v>300.52831544990266</v>
      </c>
      <c r="V25" s="23"/>
      <c r="W25" s="23">
        <f>(G25+L25)*W$4</f>
        <v>0</v>
      </c>
      <c r="X25" s="23"/>
      <c r="Y25" s="23">
        <f t="shared" ca="1" si="27"/>
        <v>0.58756806250172577</v>
      </c>
      <c r="Z25" s="23">
        <f t="shared" ca="1" si="28"/>
        <v>5.6266487410186805E-2</v>
      </c>
      <c r="AA25" s="29">
        <f t="shared" ca="1" si="5"/>
        <v>1367.9270774376332</v>
      </c>
      <c r="AB25" s="30">
        <f t="shared" ca="1" si="20"/>
        <v>5.2204493500427906</v>
      </c>
      <c r="AC25" s="23"/>
      <c r="AD25" s="23"/>
      <c r="AE25" s="23">
        <f>H25*AE$4</f>
        <v>0</v>
      </c>
      <c r="AF25" s="23">
        <f>(H25+AE25)*AF$4</f>
        <v>0</v>
      </c>
      <c r="AG25" s="23"/>
      <c r="AH25" s="23"/>
      <c r="AI25" s="23"/>
      <c r="AJ25" s="23">
        <f t="shared" ca="1" si="31"/>
        <v>217.11637566867802</v>
      </c>
      <c r="AK25" s="23"/>
      <c r="AL25" s="23"/>
      <c r="AM25" s="23">
        <f t="shared" ca="1" si="32"/>
        <v>183.63648763840536</v>
      </c>
      <c r="AN25" s="23">
        <f t="shared" ca="1" si="33"/>
        <v>626.31218551667928</v>
      </c>
      <c r="AO25" s="23"/>
      <c r="AP25" s="23">
        <f>(H25+AE25)*AP$4</f>
        <v>0</v>
      </c>
      <c r="AQ25" s="23"/>
      <c r="AR25" s="23">
        <f t="shared" ca="1" si="35"/>
        <v>1.2245136928756435</v>
      </c>
      <c r="AS25" s="23">
        <f t="shared" ca="1" si="36"/>
        <v>0.11726145221445963</v>
      </c>
      <c r="AT25" s="29">
        <f t="shared" ca="1" si="11"/>
        <v>2850.8109001803055</v>
      </c>
      <c r="AU25" s="30">
        <f t="shared" ca="1" si="12"/>
        <v>10.879610584811823</v>
      </c>
      <c r="AV25" s="23"/>
      <c r="AW25" s="23"/>
      <c r="AX25" s="23">
        <f>I25*AX$4</f>
        <v>0</v>
      </c>
      <c r="AY25" s="23">
        <f>(I25+AX25)*AY$4</f>
        <v>0</v>
      </c>
      <c r="AZ25" s="23"/>
      <c r="BA25" s="23"/>
      <c r="BB25" s="23"/>
      <c r="BC25" s="23">
        <f t="shared" ca="1" si="39"/>
        <v>43.637267457362064</v>
      </c>
      <c r="BD25" s="23"/>
      <c r="BE25" s="23"/>
      <c r="BF25" s="23">
        <f t="shared" ca="1" si="40"/>
        <v>27.746394514149515</v>
      </c>
      <c r="BG25" s="23">
        <f t="shared" ca="1" si="41"/>
        <v>117.64794976919669</v>
      </c>
      <c r="BH25" s="23"/>
      <c r="BI25" s="23">
        <f>(I25+AX25)*BI$4</f>
        <v>0</v>
      </c>
      <c r="BJ25" s="23"/>
      <c r="BK25" s="23">
        <f t="shared" ca="1" si="43"/>
        <v>0.30166310199000446</v>
      </c>
      <c r="BL25" s="23">
        <f t="shared" ca="1" si="44"/>
        <v>2.2885518317975372E-2</v>
      </c>
      <c r="BM25" s="29">
        <f t="shared" ca="1" si="18"/>
        <v>517.84468799523609</v>
      </c>
      <c r="BN25" s="30">
        <f t="shared" ca="1" si="19"/>
        <v>1.7865377976686951</v>
      </c>
    </row>
    <row r="26" spans="1:66" ht="14.4" x14ac:dyDescent="0.3">
      <c r="A26" s="19" t="s">
        <v>32</v>
      </c>
      <c r="B26" s="19" t="s">
        <v>33</v>
      </c>
      <c r="C26" s="19" t="s">
        <v>34</v>
      </c>
      <c r="D26" s="20" t="s">
        <v>87</v>
      </c>
      <c r="E26" s="19" t="s">
        <v>88</v>
      </c>
      <c r="F26" s="19" t="s">
        <v>81</v>
      </c>
      <c r="G26" s="28">
        <v>0</v>
      </c>
      <c r="H26" s="28">
        <v>0</v>
      </c>
      <c r="I26" s="28">
        <v>0</v>
      </c>
      <c r="J26" s="23"/>
      <c r="K26" s="23"/>
      <c r="L26" s="23"/>
      <c r="M26" s="23">
        <f>(G26+L26)*M$4</f>
        <v>0</v>
      </c>
      <c r="N26" s="23"/>
      <c r="O26" s="23"/>
      <c r="P26" s="23"/>
      <c r="Q26" s="23">
        <f t="shared" ca="1" si="23"/>
        <v>0</v>
      </c>
      <c r="R26" s="23"/>
      <c r="S26" s="23"/>
      <c r="T26" s="23">
        <f t="shared" ca="1" si="24"/>
        <v>0</v>
      </c>
      <c r="U26" s="23">
        <f t="shared" ca="1" si="25"/>
        <v>0</v>
      </c>
      <c r="V26" s="23"/>
      <c r="W26" s="23">
        <f>(G26+L26)*W$4</f>
        <v>0</v>
      </c>
      <c r="X26" s="23"/>
      <c r="Y26" s="23">
        <f t="shared" ca="1" si="27"/>
        <v>0</v>
      </c>
      <c r="Z26" s="23">
        <f t="shared" ca="1" si="28"/>
        <v>0</v>
      </c>
      <c r="AA26" s="29">
        <f t="shared" ca="1" si="5"/>
        <v>0</v>
      </c>
      <c r="AB26" s="30">
        <f t="shared" ca="1" si="20"/>
        <v>0</v>
      </c>
      <c r="AC26" s="23"/>
      <c r="AD26" s="23"/>
      <c r="AE26" s="23"/>
      <c r="AF26" s="23">
        <f>(H26+AE26)*AF$4</f>
        <v>0</v>
      </c>
      <c r="AG26" s="23"/>
      <c r="AH26" s="23"/>
      <c r="AI26" s="23"/>
      <c r="AJ26" s="23">
        <f t="shared" ca="1" si="31"/>
        <v>0</v>
      </c>
      <c r="AK26" s="23"/>
      <c r="AL26" s="23"/>
      <c r="AM26" s="23">
        <f t="shared" ca="1" si="32"/>
        <v>0</v>
      </c>
      <c r="AN26" s="23">
        <f t="shared" ca="1" si="33"/>
        <v>0</v>
      </c>
      <c r="AO26" s="23"/>
      <c r="AP26" s="23">
        <f>(H26+AE26)*AP$4</f>
        <v>0</v>
      </c>
      <c r="AQ26" s="23"/>
      <c r="AR26" s="23">
        <f t="shared" ca="1" si="35"/>
        <v>0</v>
      </c>
      <c r="AS26" s="23">
        <f t="shared" ca="1" si="36"/>
        <v>0</v>
      </c>
      <c r="AT26" s="29">
        <f t="shared" ca="1" si="11"/>
        <v>0</v>
      </c>
      <c r="AU26" s="30">
        <f t="shared" ca="1" si="12"/>
        <v>0</v>
      </c>
      <c r="AV26" s="23"/>
      <c r="AW26" s="23"/>
      <c r="AX26" s="23"/>
      <c r="AY26" s="23">
        <f>(I26+AX26)*AY$4</f>
        <v>0</v>
      </c>
      <c r="AZ26" s="23"/>
      <c r="BA26" s="23"/>
      <c r="BB26" s="23"/>
      <c r="BC26" s="23">
        <f t="shared" ca="1" si="39"/>
        <v>0</v>
      </c>
      <c r="BD26" s="23"/>
      <c r="BE26" s="23"/>
      <c r="BF26" s="23">
        <f t="shared" ca="1" si="40"/>
        <v>0</v>
      </c>
      <c r="BG26" s="23">
        <f t="shared" ca="1" si="41"/>
        <v>0</v>
      </c>
      <c r="BH26" s="23"/>
      <c r="BI26" s="23">
        <f>(I26+AX26)*BI$4</f>
        <v>0</v>
      </c>
      <c r="BJ26" s="23"/>
      <c r="BK26" s="23">
        <f t="shared" ca="1" si="43"/>
        <v>0</v>
      </c>
      <c r="BL26" s="23">
        <f t="shared" ca="1" si="44"/>
        <v>0</v>
      </c>
      <c r="BM26" s="29">
        <f t="shared" ca="1" si="18"/>
        <v>0</v>
      </c>
      <c r="BN26" s="30">
        <f t="shared" ca="1" si="19"/>
        <v>0</v>
      </c>
    </row>
    <row r="27" spans="1:66" ht="14.4" x14ac:dyDescent="0.3">
      <c r="A27" s="19" t="s">
        <v>32</v>
      </c>
      <c r="B27" s="19" t="s">
        <v>33</v>
      </c>
      <c r="C27" s="19" t="s">
        <v>34</v>
      </c>
      <c r="D27" s="22" t="s">
        <v>89</v>
      </c>
      <c r="E27" s="19" t="s">
        <v>90</v>
      </c>
      <c r="F27" s="19" t="s">
        <v>91</v>
      </c>
      <c r="G27" s="28">
        <v>20.048386667354453</v>
      </c>
      <c r="H27" s="28">
        <v>60.363740378824758</v>
      </c>
      <c r="I27" s="28">
        <v>0</v>
      </c>
      <c r="J27" s="23"/>
      <c r="K27" s="23"/>
      <c r="L27" s="23"/>
      <c r="M27" s="23"/>
      <c r="N27" s="23">
        <f>G27*N$4</f>
        <v>0</v>
      </c>
      <c r="O27" s="23"/>
      <c r="P27" s="23"/>
      <c r="Q27" s="23">
        <f t="shared" ca="1" si="23"/>
        <v>3.3550038531878554</v>
      </c>
      <c r="R27" s="23"/>
      <c r="S27" s="23"/>
      <c r="T27" s="23">
        <f ca="1">(G27+J27+K27+L27+M27+O27+Q27+R27+S27+N27)*T$4</f>
        <v>2.8376538697979701</v>
      </c>
      <c r="U27" s="23">
        <f ca="1">(G27+J27+K27+L27+M27+O27+Q27+R27+S27+N27)*U$4</f>
        <v>9.6781267153866928</v>
      </c>
      <c r="V27" s="23"/>
      <c r="W27" s="23"/>
      <c r="X27" s="23"/>
      <c r="Y27" s="23">
        <f ca="1">(G27+J27+K27+L27+M27+O27+R27+S27+N27)*Y$4</f>
        <v>1.8921871485862982E-2</v>
      </c>
      <c r="Z27" s="23">
        <f ca="1">(G27+J27+K27+L27+M27+O27+Q27+R27+S27+N27)*Z$4</f>
        <v>1.8119896428736802E-3</v>
      </c>
      <c r="AA27" s="29">
        <f t="shared" ca="1" si="5"/>
        <v>44.052326893160597</v>
      </c>
      <c r="AB27" s="30">
        <f t="shared" ca="1" si="20"/>
        <v>2.0733861128736663E-2</v>
      </c>
      <c r="AC27" s="23"/>
      <c r="AD27" s="23"/>
      <c r="AE27" s="23"/>
      <c r="AF27" s="23"/>
      <c r="AG27" s="23">
        <f>H27*AG$4</f>
        <v>0</v>
      </c>
      <c r="AH27" s="23"/>
      <c r="AI27" s="23"/>
      <c r="AJ27" s="23">
        <f t="shared" ca="1" si="31"/>
        <v>10.101589964521201</v>
      </c>
      <c r="AK27" s="23"/>
      <c r="AL27" s="23"/>
      <c r="AM27" s="23">
        <f ca="1">(H27+AC27+AD27+AE27+AF27+AH27+AJ27+AK27+AL27+AG27)*AM$4</f>
        <v>8.5438995328423264</v>
      </c>
      <c r="AN27" s="23">
        <f ca="1">(H27+AC27+AD27+AE27+AF27+AH27+AJ27+AK27+AL27+AG27)*AN$4</f>
        <v>29.139897294192657</v>
      </c>
      <c r="AO27" s="23"/>
      <c r="AP27" s="23"/>
      <c r="AQ27" s="23"/>
      <c r="AR27" s="23">
        <f ca="1">(H27+AC27+AD27+AE27+AF27+AH27+AK27+AL27+AG27)*AR$4</f>
        <v>5.6971912842942091E-2</v>
      </c>
      <c r="AS27" s="23">
        <f ca="1">(H27+AC27+AD27+AE27+AF27+AH27+AJ27+AK27+AL27+AG27)*AS$4</f>
        <v>5.4557244024852781E-3</v>
      </c>
      <c r="AT27" s="29">
        <f t="shared" ca="1" si="11"/>
        <v>132.63726741622963</v>
      </c>
      <c r="AU27" s="30">
        <f t="shared" ca="1" si="12"/>
        <v>6.2427637245427367E-2</v>
      </c>
      <c r="AV27" s="23"/>
      <c r="AW27" s="23"/>
      <c r="AX27" s="23"/>
      <c r="AY27" s="23"/>
      <c r="AZ27" s="23">
        <f ca="1">I27*$BL$4</f>
        <v>0</v>
      </c>
      <c r="BA27" s="23"/>
      <c r="BB27" s="23"/>
      <c r="BC27" s="23">
        <f t="shared" ca="1" si="39"/>
        <v>0</v>
      </c>
      <c r="BD27" s="23"/>
      <c r="BE27" s="23"/>
      <c r="BF27" s="23">
        <f ca="1">(I27+AV27+AW27+AX27+AY27+BA27+BC27+BD27+BE27+AZ27)*BF$4</f>
        <v>0</v>
      </c>
      <c r="BG27" s="23">
        <f ca="1">(I27+AV27+AW27+AX27+AY27+BA27+BC27+BD27+BE27+AZ27)*BG$4</f>
        <v>0</v>
      </c>
      <c r="BH27" s="23"/>
      <c r="BI27" s="23"/>
      <c r="BJ27" s="23"/>
      <c r="BK27" s="23">
        <f ca="1">(I27+AV27+AW27+AX27+AY27+BA27+BD27+BE27+AZ27)*BK$4</f>
        <v>0</v>
      </c>
      <c r="BL27" s="23">
        <f ca="1">(I27+AV27+AW27+AX27+AY27+BA27+BC27+BD27+BE27+AZ27)*BL$4</f>
        <v>0</v>
      </c>
      <c r="BM27" s="29">
        <f t="shared" ca="1" si="18"/>
        <v>0</v>
      </c>
      <c r="BN27" s="30">
        <f t="shared" ca="1" si="19"/>
        <v>0</v>
      </c>
    </row>
    <row r="28" spans="1:66" ht="14.4" x14ac:dyDescent="0.3">
      <c r="A28" s="19" t="s">
        <v>32</v>
      </c>
      <c r="B28" s="19" t="s">
        <v>33</v>
      </c>
      <c r="C28" s="19" t="s">
        <v>34</v>
      </c>
      <c r="D28" s="19" t="s">
        <v>92</v>
      </c>
      <c r="E28" s="19" t="s">
        <v>93</v>
      </c>
      <c r="F28" s="19" t="s">
        <v>58</v>
      </c>
      <c r="G28" s="28">
        <v>0</v>
      </c>
      <c r="H28" s="28">
        <v>0</v>
      </c>
      <c r="I28" s="28">
        <v>0</v>
      </c>
      <c r="J28" s="23">
        <f>G28*J$4</f>
        <v>0</v>
      </c>
      <c r="K28" s="23">
        <f>(G28+J28)*K$4</f>
        <v>0</v>
      </c>
      <c r="L28" s="23"/>
      <c r="M28" s="23"/>
      <c r="N28" s="23"/>
      <c r="O28" s="23"/>
      <c r="P28" s="23"/>
      <c r="Q28" s="23">
        <f t="shared" ca="1" si="23"/>
        <v>0</v>
      </c>
      <c r="R28" s="23"/>
      <c r="S28" s="23"/>
      <c r="T28" s="23">
        <f t="shared" ref="T28:T32" ca="1" si="45">(G28+J28+K28+L28+M28+O28+Q28+R28+S28)*T$4</f>
        <v>0</v>
      </c>
      <c r="U28" s="23">
        <f t="shared" ref="U28:U32" ca="1" si="46">(G28+J28+K28+L28+M28+O28+Q28+R28+S28)*U$4</f>
        <v>0</v>
      </c>
      <c r="V28" s="23">
        <f>(G28+J28)*V$4</f>
        <v>0</v>
      </c>
      <c r="W28" s="23"/>
      <c r="X28" s="23"/>
      <c r="Y28" s="23">
        <f t="shared" ref="Y28:Y32" ca="1" si="47">(G28+J28+K28+L28+M28+O28+R28+S28)*Y$4</f>
        <v>0</v>
      </c>
      <c r="Z28" s="23">
        <f t="shared" ref="Z28:Z32" ca="1" si="48">(G28+J28+K28+L28+M28+O28+Q28+R28+S28)*Z$4</f>
        <v>0</v>
      </c>
      <c r="AA28" s="29">
        <f t="shared" ca="1" si="5"/>
        <v>0</v>
      </c>
      <c r="AB28" s="30">
        <f t="shared" ca="1" si="20"/>
        <v>0</v>
      </c>
      <c r="AC28" s="23">
        <f>H28*AC$4</f>
        <v>0</v>
      </c>
      <c r="AD28" s="23">
        <f>(H28+AC28)*AD$4</f>
        <v>0</v>
      </c>
      <c r="AE28" s="23"/>
      <c r="AF28" s="23"/>
      <c r="AG28" s="23"/>
      <c r="AH28" s="23"/>
      <c r="AI28" s="23"/>
      <c r="AJ28" s="23">
        <f t="shared" ca="1" si="31"/>
        <v>0</v>
      </c>
      <c r="AK28" s="23"/>
      <c r="AL28" s="23"/>
      <c r="AM28" s="23">
        <f t="shared" ref="AM28:AM32" ca="1" si="49">(H28+AC28+AD28+AE28+AF28+AH28+AJ28+AK28+AL28)*AM$4</f>
        <v>0</v>
      </c>
      <c r="AN28" s="23">
        <f t="shared" ref="AN28:AN32" ca="1" si="50">(H28+AC28+AD28+AE28+AF28+AH28+AJ28+AK28+AL28)*AN$4</f>
        <v>0</v>
      </c>
      <c r="AO28" s="23">
        <f>(H28+AC28)*AO$4</f>
        <v>0</v>
      </c>
      <c r="AP28" s="23"/>
      <c r="AQ28" s="23"/>
      <c r="AR28" s="23">
        <f t="shared" ref="AR28:AR32" ca="1" si="51">(H28+AC28+AD28+AE28+AF28+AH28+AK28+AL28)*AR$4</f>
        <v>0</v>
      </c>
      <c r="AS28" s="23">
        <f t="shared" ref="AS28:AS32" ca="1" si="52">(H28+AC28+AD28+AE28+AF28+AH28+AJ28+AK28+AL28)*AS$4</f>
        <v>0</v>
      </c>
      <c r="AT28" s="29">
        <f t="shared" ca="1" si="11"/>
        <v>0</v>
      </c>
      <c r="AU28" s="30">
        <f t="shared" ca="1" si="12"/>
        <v>0</v>
      </c>
      <c r="AV28" s="23">
        <f>I28*AV$4</f>
        <v>0</v>
      </c>
      <c r="AW28" s="23">
        <f>(I28+AV28)*AW$4</f>
        <v>0</v>
      </c>
      <c r="AX28" s="23"/>
      <c r="AY28" s="23"/>
      <c r="AZ28" s="23"/>
      <c r="BA28" s="23"/>
      <c r="BB28" s="23"/>
      <c r="BC28" s="23">
        <f t="shared" ca="1" si="39"/>
        <v>0</v>
      </c>
      <c r="BD28" s="23"/>
      <c r="BE28" s="23"/>
      <c r="BF28" s="23">
        <f t="shared" ref="BF28:BF32" ca="1" si="53">(I28+AV28+AW28+AX28+AY28+BA28+BC28+BD28+BE28)*BF$4</f>
        <v>0</v>
      </c>
      <c r="BG28" s="23">
        <f t="shared" ref="BG28:BG32" ca="1" si="54">(I28+AV28+AW28+AX28+AY28+BA28+BC28+BD28+BE28)*BG$4</f>
        <v>0</v>
      </c>
      <c r="BH28" s="23">
        <f>(I28+AV28)*BH$4</f>
        <v>0</v>
      </c>
      <c r="BI28" s="23"/>
      <c r="BJ28" s="23"/>
      <c r="BK28" s="23">
        <f t="shared" ref="BK28:BK32" ca="1" si="55">(I28+AV28+AW28+AX28+AY28+BA28+BD28+BE28)*BK$4</f>
        <v>0</v>
      </c>
      <c r="BL28" s="23">
        <f t="shared" ref="BL28:BL32" ca="1" si="56">(I28+AV28+AW28+AX28+AY28+BA28+BC28+BD28+BE28)*BL$4</f>
        <v>0</v>
      </c>
      <c r="BM28" s="29">
        <f t="shared" ca="1" si="18"/>
        <v>0</v>
      </c>
      <c r="BN28" s="30">
        <f t="shared" ca="1" si="19"/>
        <v>0</v>
      </c>
    </row>
    <row r="29" spans="1:66" ht="14.4" x14ac:dyDescent="0.3">
      <c r="A29" s="19" t="s">
        <v>32</v>
      </c>
      <c r="B29" s="19" t="s">
        <v>33</v>
      </c>
      <c r="C29" s="19" t="s">
        <v>34</v>
      </c>
      <c r="D29" s="19" t="s">
        <v>94</v>
      </c>
      <c r="E29" s="25" t="s">
        <v>95</v>
      </c>
      <c r="F29" s="19" t="s">
        <v>58</v>
      </c>
      <c r="G29" s="28">
        <v>0</v>
      </c>
      <c r="H29" s="28">
        <v>0</v>
      </c>
      <c r="I29" s="28">
        <v>0</v>
      </c>
      <c r="J29" s="23">
        <f>G29*J$4</f>
        <v>0</v>
      </c>
      <c r="K29" s="23">
        <f>(G29+J29)*K$4</f>
        <v>0</v>
      </c>
      <c r="L29" s="23"/>
      <c r="M29" s="23"/>
      <c r="N29" s="23"/>
      <c r="O29" s="23"/>
      <c r="P29" s="23"/>
      <c r="Q29" s="23">
        <f t="shared" ca="1" si="23"/>
        <v>0</v>
      </c>
      <c r="R29" s="23"/>
      <c r="S29" s="23"/>
      <c r="T29" s="23">
        <f t="shared" ca="1" si="45"/>
        <v>0</v>
      </c>
      <c r="U29" s="23">
        <f t="shared" ca="1" si="46"/>
        <v>0</v>
      </c>
      <c r="V29" s="23">
        <f>(G29+J29)*V$4</f>
        <v>0</v>
      </c>
      <c r="W29" s="23"/>
      <c r="X29" s="23"/>
      <c r="Y29" s="23">
        <f t="shared" ca="1" si="47"/>
        <v>0</v>
      </c>
      <c r="Z29" s="23">
        <f t="shared" ca="1" si="48"/>
        <v>0</v>
      </c>
      <c r="AA29" s="29">
        <f t="shared" ca="1" si="5"/>
        <v>0</v>
      </c>
      <c r="AB29" s="30">
        <f t="shared" ca="1" si="20"/>
        <v>0</v>
      </c>
      <c r="AC29" s="23">
        <f>H29*AC$4</f>
        <v>0</v>
      </c>
      <c r="AD29" s="23">
        <f>(H29+AC29)*AD$4</f>
        <v>0</v>
      </c>
      <c r="AE29" s="23"/>
      <c r="AF29" s="23"/>
      <c r="AG29" s="23"/>
      <c r="AH29" s="23"/>
      <c r="AI29" s="23"/>
      <c r="AJ29" s="23">
        <f t="shared" ca="1" si="31"/>
        <v>0</v>
      </c>
      <c r="AK29" s="23"/>
      <c r="AL29" s="23"/>
      <c r="AM29" s="23">
        <f t="shared" ca="1" si="49"/>
        <v>0</v>
      </c>
      <c r="AN29" s="23">
        <f t="shared" ca="1" si="50"/>
        <v>0</v>
      </c>
      <c r="AO29" s="23">
        <f>(H29+AC29)*AO$4</f>
        <v>0</v>
      </c>
      <c r="AP29" s="23"/>
      <c r="AQ29" s="23"/>
      <c r="AR29" s="23">
        <f t="shared" ca="1" si="51"/>
        <v>0</v>
      </c>
      <c r="AS29" s="23">
        <f t="shared" ca="1" si="52"/>
        <v>0</v>
      </c>
      <c r="AT29" s="29">
        <f t="shared" ca="1" si="11"/>
        <v>0</v>
      </c>
      <c r="AU29" s="30">
        <f t="shared" ca="1" si="12"/>
        <v>0</v>
      </c>
      <c r="AV29" s="23">
        <f>I29*AV$4</f>
        <v>0</v>
      </c>
      <c r="AW29" s="23">
        <f>(I29+AV29)*AW$4</f>
        <v>0</v>
      </c>
      <c r="AX29" s="23"/>
      <c r="AY29" s="23"/>
      <c r="AZ29" s="23"/>
      <c r="BA29" s="23"/>
      <c r="BB29" s="23"/>
      <c r="BC29" s="23">
        <f t="shared" ca="1" si="39"/>
        <v>0</v>
      </c>
      <c r="BD29" s="23"/>
      <c r="BE29" s="23"/>
      <c r="BF29" s="23">
        <f t="shared" ca="1" si="53"/>
        <v>0</v>
      </c>
      <c r="BG29" s="23">
        <f t="shared" ca="1" si="54"/>
        <v>0</v>
      </c>
      <c r="BH29" s="23">
        <f>(I29+AV29)*BH$4</f>
        <v>0</v>
      </c>
      <c r="BI29" s="23"/>
      <c r="BJ29" s="23"/>
      <c r="BK29" s="23">
        <f t="shared" ca="1" si="55"/>
        <v>0</v>
      </c>
      <c r="BL29" s="23">
        <f t="shared" ca="1" si="56"/>
        <v>0</v>
      </c>
      <c r="BM29" s="29">
        <f t="shared" ca="1" si="18"/>
        <v>0</v>
      </c>
      <c r="BN29" s="30">
        <f t="shared" ca="1" si="19"/>
        <v>0</v>
      </c>
    </row>
    <row r="30" spans="1:66" ht="14.4" x14ac:dyDescent="0.3">
      <c r="A30" s="19" t="s">
        <v>32</v>
      </c>
      <c r="B30" s="19" t="s">
        <v>33</v>
      </c>
      <c r="C30" s="19" t="s">
        <v>34</v>
      </c>
      <c r="D30" s="20" t="s">
        <v>96</v>
      </c>
      <c r="E30" s="19" t="s">
        <v>97</v>
      </c>
      <c r="F30" s="19" t="s">
        <v>58</v>
      </c>
      <c r="G30" s="28">
        <v>0</v>
      </c>
      <c r="H30" s="28">
        <v>0</v>
      </c>
      <c r="I30" s="28">
        <v>0</v>
      </c>
      <c r="J30" s="23"/>
      <c r="K30" s="23"/>
      <c r="L30" s="23"/>
      <c r="M30" s="23"/>
      <c r="N30" s="23"/>
      <c r="O30" s="23"/>
      <c r="P30" s="23"/>
      <c r="Q30" s="23">
        <f t="shared" ca="1" si="23"/>
        <v>0</v>
      </c>
      <c r="R30" s="23"/>
      <c r="S30" s="23">
        <f>G30*S$4</f>
        <v>0</v>
      </c>
      <c r="T30" s="23">
        <f t="shared" ca="1" si="45"/>
        <v>0</v>
      </c>
      <c r="U30" s="23">
        <f t="shared" ca="1" si="46"/>
        <v>0</v>
      </c>
      <c r="V30" s="23"/>
      <c r="W30" s="23"/>
      <c r="X30" s="23"/>
      <c r="Y30" s="23">
        <f t="shared" ca="1" si="47"/>
        <v>0</v>
      </c>
      <c r="Z30" s="23">
        <f t="shared" ca="1" si="48"/>
        <v>0</v>
      </c>
      <c r="AA30" s="29">
        <f t="shared" ca="1" si="5"/>
        <v>0</v>
      </c>
      <c r="AB30" s="30">
        <f t="shared" ca="1" si="20"/>
        <v>0</v>
      </c>
      <c r="AC30" s="23"/>
      <c r="AD30" s="23"/>
      <c r="AE30" s="23"/>
      <c r="AF30" s="23"/>
      <c r="AG30" s="23"/>
      <c r="AH30" s="23"/>
      <c r="AI30" s="23"/>
      <c r="AJ30" s="23">
        <f t="shared" ca="1" si="31"/>
        <v>0</v>
      </c>
      <c r="AK30" s="23"/>
      <c r="AL30" s="23">
        <f>H30*AL$4</f>
        <v>0</v>
      </c>
      <c r="AM30" s="23">
        <f t="shared" ca="1" si="49"/>
        <v>0</v>
      </c>
      <c r="AN30" s="23">
        <f t="shared" ca="1" si="50"/>
        <v>0</v>
      </c>
      <c r="AO30" s="23"/>
      <c r="AP30" s="23"/>
      <c r="AQ30" s="23"/>
      <c r="AR30" s="23">
        <f t="shared" ca="1" si="51"/>
        <v>0</v>
      </c>
      <c r="AS30" s="23">
        <f t="shared" ca="1" si="52"/>
        <v>0</v>
      </c>
      <c r="AT30" s="29">
        <f t="shared" ca="1" si="11"/>
        <v>0</v>
      </c>
      <c r="AU30" s="30">
        <f t="shared" ca="1" si="12"/>
        <v>0</v>
      </c>
      <c r="AV30" s="23"/>
      <c r="AW30" s="23"/>
      <c r="AX30" s="23"/>
      <c r="AY30" s="23"/>
      <c r="AZ30" s="23"/>
      <c r="BA30" s="23"/>
      <c r="BB30" s="23"/>
      <c r="BC30" s="23">
        <f t="shared" ca="1" si="39"/>
        <v>0</v>
      </c>
      <c r="BD30" s="23"/>
      <c r="BE30" s="23">
        <f>I30*BE$4</f>
        <v>0</v>
      </c>
      <c r="BF30" s="23">
        <f t="shared" ca="1" si="53"/>
        <v>0</v>
      </c>
      <c r="BG30" s="23">
        <f t="shared" ca="1" si="54"/>
        <v>0</v>
      </c>
      <c r="BH30" s="23"/>
      <c r="BI30" s="23"/>
      <c r="BJ30" s="23"/>
      <c r="BK30" s="23">
        <f t="shared" ca="1" si="55"/>
        <v>0</v>
      </c>
      <c r="BL30" s="23">
        <f t="shared" ca="1" si="56"/>
        <v>0</v>
      </c>
      <c r="BM30" s="29">
        <f t="shared" ca="1" si="18"/>
        <v>0</v>
      </c>
      <c r="BN30" s="30">
        <f t="shared" ca="1" si="19"/>
        <v>0</v>
      </c>
    </row>
    <row r="31" spans="1:66" ht="14.4" x14ac:dyDescent="0.3">
      <c r="A31" s="19" t="s">
        <v>32</v>
      </c>
      <c r="B31" s="19" t="s">
        <v>33</v>
      </c>
      <c r="C31" s="19" t="s">
        <v>34</v>
      </c>
      <c r="D31" s="19" t="s">
        <v>98</v>
      </c>
      <c r="E31" s="19" t="s">
        <v>99</v>
      </c>
      <c r="F31" s="19" t="s">
        <v>81</v>
      </c>
      <c r="G31" s="28">
        <v>0</v>
      </c>
      <c r="H31" s="28">
        <v>0</v>
      </c>
      <c r="I31" s="28">
        <v>0</v>
      </c>
      <c r="J31" s="23"/>
      <c r="K31" s="23"/>
      <c r="L31" s="23">
        <f>G31*L$4</f>
        <v>0</v>
      </c>
      <c r="M31" s="23">
        <f>(G31+L31)*M$4</f>
        <v>0</v>
      </c>
      <c r="N31" s="23"/>
      <c r="O31" s="23"/>
      <c r="P31" s="23"/>
      <c r="Q31" s="23">
        <f t="shared" ca="1" si="23"/>
        <v>0</v>
      </c>
      <c r="R31" s="23"/>
      <c r="S31" s="23"/>
      <c r="T31" s="23">
        <f t="shared" ca="1" si="45"/>
        <v>0</v>
      </c>
      <c r="U31" s="23">
        <f t="shared" ca="1" si="46"/>
        <v>0</v>
      </c>
      <c r="V31" s="23"/>
      <c r="W31" s="23">
        <f>(G31+L31)*W$4</f>
        <v>0</v>
      </c>
      <c r="X31" s="23"/>
      <c r="Y31" s="23">
        <f t="shared" ca="1" si="47"/>
        <v>0</v>
      </c>
      <c r="Z31" s="23">
        <f t="shared" ca="1" si="48"/>
        <v>0</v>
      </c>
      <c r="AA31" s="29">
        <f t="shared" ca="1" si="5"/>
        <v>0</v>
      </c>
      <c r="AB31" s="30">
        <f t="shared" ca="1" si="20"/>
        <v>0</v>
      </c>
      <c r="AC31" s="23"/>
      <c r="AD31" s="23"/>
      <c r="AE31" s="23">
        <f>H31*AE$4</f>
        <v>0</v>
      </c>
      <c r="AF31" s="23">
        <f>(H31+AE31)*AF$4</f>
        <v>0</v>
      </c>
      <c r="AG31" s="23"/>
      <c r="AH31" s="23"/>
      <c r="AI31" s="23"/>
      <c r="AJ31" s="23">
        <f t="shared" ca="1" si="31"/>
        <v>0</v>
      </c>
      <c r="AK31" s="23"/>
      <c r="AL31" s="23"/>
      <c r="AM31" s="23">
        <f t="shared" ca="1" si="49"/>
        <v>0</v>
      </c>
      <c r="AN31" s="23">
        <f t="shared" ca="1" si="50"/>
        <v>0</v>
      </c>
      <c r="AO31" s="23"/>
      <c r="AP31" s="23">
        <f>(H31+AE31)*AP$4</f>
        <v>0</v>
      </c>
      <c r="AQ31" s="23"/>
      <c r="AR31" s="23">
        <f t="shared" ca="1" si="51"/>
        <v>0</v>
      </c>
      <c r="AS31" s="23">
        <f t="shared" ca="1" si="52"/>
        <v>0</v>
      </c>
      <c r="AT31" s="29">
        <f t="shared" ca="1" si="11"/>
        <v>0</v>
      </c>
      <c r="AU31" s="30">
        <f t="shared" ca="1" si="12"/>
        <v>0</v>
      </c>
      <c r="AV31" s="23"/>
      <c r="AW31" s="23"/>
      <c r="AX31" s="23">
        <f>I31*AX$4</f>
        <v>0</v>
      </c>
      <c r="AY31" s="23">
        <f>(I31+AX31)*AY$4</f>
        <v>0</v>
      </c>
      <c r="AZ31" s="23"/>
      <c r="BA31" s="23"/>
      <c r="BB31" s="23"/>
      <c r="BC31" s="23">
        <f t="shared" ca="1" si="39"/>
        <v>0</v>
      </c>
      <c r="BD31" s="23"/>
      <c r="BE31" s="23"/>
      <c r="BF31" s="23">
        <f t="shared" ca="1" si="53"/>
        <v>0</v>
      </c>
      <c r="BG31" s="23">
        <f t="shared" ca="1" si="54"/>
        <v>0</v>
      </c>
      <c r="BH31" s="23"/>
      <c r="BI31" s="23">
        <f>(I31+AX31)*BI$4</f>
        <v>0</v>
      </c>
      <c r="BJ31" s="23"/>
      <c r="BK31" s="23">
        <f t="shared" ca="1" si="55"/>
        <v>0</v>
      </c>
      <c r="BL31" s="23">
        <f t="shared" ca="1" si="56"/>
        <v>0</v>
      </c>
      <c r="BM31" s="29">
        <f t="shared" ca="1" si="18"/>
        <v>0</v>
      </c>
      <c r="BN31" s="30">
        <f t="shared" ca="1" si="19"/>
        <v>0</v>
      </c>
    </row>
    <row r="32" spans="1:66" ht="14.4" x14ac:dyDescent="0.3">
      <c r="A32" s="19" t="s">
        <v>32</v>
      </c>
      <c r="B32" s="19" t="s">
        <v>33</v>
      </c>
      <c r="C32" s="19" t="s">
        <v>34</v>
      </c>
      <c r="D32" s="20" t="s">
        <v>100</v>
      </c>
      <c r="E32" s="19" t="s">
        <v>101</v>
      </c>
      <c r="F32" s="19" t="s">
        <v>102</v>
      </c>
      <c r="G32" s="28">
        <v>0</v>
      </c>
      <c r="H32" s="28">
        <v>0</v>
      </c>
      <c r="I32" s="28">
        <v>0</v>
      </c>
      <c r="J32" s="23"/>
      <c r="K32" s="23"/>
      <c r="L32" s="23"/>
      <c r="M32" s="23"/>
      <c r="N32" s="23"/>
      <c r="O32" s="23"/>
      <c r="P32" s="23"/>
      <c r="Q32" s="23">
        <f t="shared" ca="1" si="23"/>
        <v>0</v>
      </c>
      <c r="R32" s="23"/>
      <c r="S32" s="23">
        <f>G32*S$4</f>
        <v>0</v>
      </c>
      <c r="T32" s="23">
        <f t="shared" ca="1" si="45"/>
        <v>0</v>
      </c>
      <c r="U32" s="23">
        <f t="shared" ca="1" si="46"/>
        <v>0</v>
      </c>
      <c r="V32" s="23"/>
      <c r="W32" s="23"/>
      <c r="X32" s="23"/>
      <c r="Y32" s="23">
        <f t="shared" ca="1" si="47"/>
        <v>0</v>
      </c>
      <c r="Z32" s="23">
        <f t="shared" ca="1" si="48"/>
        <v>0</v>
      </c>
      <c r="AA32" s="29">
        <f t="shared" ca="1" si="5"/>
        <v>0</v>
      </c>
      <c r="AB32" s="30">
        <f t="shared" ca="1" si="20"/>
        <v>0</v>
      </c>
      <c r="AC32" s="23"/>
      <c r="AD32" s="23"/>
      <c r="AE32" s="23"/>
      <c r="AF32" s="23"/>
      <c r="AG32" s="23"/>
      <c r="AH32" s="23"/>
      <c r="AI32" s="23"/>
      <c r="AJ32" s="23">
        <f t="shared" ca="1" si="31"/>
        <v>0</v>
      </c>
      <c r="AK32" s="23"/>
      <c r="AL32" s="23">
        <f>H32*AL$4</f>
        <v>0</v>
      </c>
      <c r="AM32" s="23">
        <f t="shared" ca="1" si="49"/>
        <v>0</v>
      </c>
      <c r="AN32" s="23">
        <f t="shared" ca="1" si="50"/>
        <v>0</v>
      </c>
      <c r="AO32" s="23"/>
      <c r="AP32" s="23"/>
      <c r="AQ32" s="23"/>
      <c r="AR32" s="23">
        <f t="shared" ca="1" si="51"/>
        <v>0</v>
      </c>
      <c r="AS32" s="23">
        <f t="shared" ca="1" si="52"/>
        <v>0</v>
      </c>
      <c r="AT32" s="29">
        <f t="shared" ca="1" si="11"/>
        <v>0</v>
      </c>
      <c r="AU32" s="30">
        <f t="shared" ca="1" si="12"/>
        <v>0</v>
      </c>
      <c r="AV32" s="23"/>
      <c r="AW32" s="23"/>
      <c r="AX32" s="23"/>
      <c r="AY32" s="23"/>
      <c r="AZ32" s="23"/>
      <c r="BA32" s="23"/>
      <c r="BB32" s="23"/>
      <c r="BC32" s="23">
        <f t="shared" ca="1" si="39"/>
        <v>0</v>
      </c>
      <c r="BD32" s="23"/>
      <c r="BE32" s="23">
        <f>I32*BE$4</f>
        <v>0</v>
      </c>
      <c r="BF32" s="23">
        <f t="shared" ca="1" si="53"/>
        <v>0</v>
      </c>
      <c r="BG32" s="23">
        <f t="shared" ca="1" si="54"/>
        <v>0</v>
      </c>
      <c r="BH32" s="23"/>
      <c r="BI32" s="23"/>
      <c r="BJ32" s="23"/>
      <c r="BK32" s="23">
        <f t="shared" ca="1" si="55"/>
        <v>0</v>
      </c>
      <c r="BL32" s="23">
        <f t="shared" ca="1" si="56"/>
        <v>0</v>
      </c>
      <c r="BM32" s="29">
        <f t="shared" ca="1" si="18"/>
        <v>0</v>
      </c>
      <c r="BN32" s="30">
        <f t="shared" ca="1" si="1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5E59-5976-444E-AE43-F274CE21DA12}">
  <dimension ref="B3:BO34"/>
  <sheetViews>
    <sheetView tabSelected="1" workbookViewId="0">
      <selection activeCell="F8" sqref="F8"/>
    </sheetView>
  </sheetViews>
  <sheetFormatPr defaultRowHeight="13.8" x14ac:dyDescent="0.3"/>
  <cols>
    <col min="2" max="2" width="15.88671875" bestFit="1" customWidth="1"/>
    <col min="4" max="4" width="19.77734375" customWidth="1"/>
    <col min="6" max="6" width="19.44140625" bestFit="1" customWidth="1"/>
    <col min="7" max="7" width="31.6640625" bestFit="1" customWidth="1"/>
    <col min="12" max="12" width="10.21875" bestFit="1" customWidth="1"/>
    <col min="47" max="47" width="17" customWidth="1"/>
    <col min="48" max="48" width="16" customWidth="1"/>
  </cols>
  <sheetData>
    <row r="3" spans="2:67" ht="29.4" thickBot="1" x14ac:dyDescent="0.35">
      <c r="B3" s="1"/>
      <c r="C3" s="1"/>
      <c r="D3" s="1"/>
      <c r="E3" s="1"/>
      <c r="F3" s="2"/>
      <c r="G3" s="35"/>
      <c r="H3" s="36" t="s">
        <v>6</v>
      </c>
      <c r="I3" s="37">
        <v>2026</v>
      </c>
      <c r="J3" s="37" t="s">
        <v>7</v>
      </c>
      <c r="K3" s="8" t="s">
        <v>6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>
        <v>2026</v>
      </c>
      <c r="AE3" s="8">
        <v>2026</v>
      </c>
      <c r="AF3" s="8">
        <v>2026</v>
      </c>
      <c r="AG3" s="8">
        <v>2026</v>
      </c>
      <c r="AH3" s="8">
        <v>2026</v>
      </c>
      <c r="AI3" s="8">
        <v>2026</v>
      </c>
      <c r="AJ3" s="8">
        <v>2026</v>
      </c>
      <c r="AK3" s="8">
        <v>2026</v>
      </c>
      <c r="AL3" s="8">
        <v>2026</v>
      </c>
      <c r="AM3" s="8">
        <v>2026</v>
      </c>
      <c r="AN3" s="8">
        <v>2026</v>
      </c>
      <c r="AO3" s="8">
        <v>2026</v>
      </c>
      <c r="AP3" s="8">
        <v>2026</v>
      </c>
      <c r="AQ3" s="8">
        <v>2026</v>
      </c>
      <c r="AR3" s="8">
        <v>2026</v>
      </c>
      <c r="AS3" s="8">
        <v>2026</v>
      </c>
      <c r="AT3" s="8">
        <v>2026</v>
      </c>
      <c r="AU3" s="8">
        <v>2026</v>
      </c>
      <c r="AV3" s="8">
        <v>2026</v>
      </c>
      <c r="AW3" s="9" t="s">
        <v>7</v>
      </c>
      <c r="AX3" s="9" t="s">
        <v>7</v>
      </c>
      <c r="AY3" s="9" t="s">
        <v>7</v>
      </c>
      <c r="AZ3" s="9" t="s">
        <v>7</v>
      </c>
      <c r="BA3" s="9" t="s">
        <v>7</v>
      </c>
      <c r="BB3" s="9" t="s">
        <v>7</v>
      </c>
      <c r="BC3" s="9" t="s">
        <v>7</v>
      </c>
      <c r="BD3" s="9" t="s">
        <v>7</v>
      </c>
      <c r="BE3" s="9" t="s">
        <v>7</v>
      </c>
      <c r="BF3" s="9" t="s">
        <v>7</v>
      </c>
      <c r="BG3" s="9" t="s">
        <v>7</v>
      </c>
      <c r="BH3" s="9" t="s">
        <v>7</v>
      </c>
      <c r="BI3" s="9" t="s">
        <v>7</v>
      </c>
      <c r="BJ3" s="9" t="s">
        <v>7</v>
      </c>
      <c r="BK3" s="9" t="s">
        <v>7</v>
      </c>
      <c r="BL3" s="9" t="s">
        <v>7</v>
      </c>
      <c r="BM3" s="9" t="s">
        <v>7</v>
      </c>
      <c r="BN3" s="9" t="s">
        <v>7</v>
      </c>
      <c r="BO3" s="9" t="s">
        <v>7</v>
      </c>
    </row>
    <row r="4" spans="2:67" ht="43.8" thickBot="1" x14ac:dyDescent="0.35">
      <c r="H4" s="38" t="s">
        <v>8</v>
      </c>
      <c r="I4" s="38" t="s">
        <v>8</v>
      </c>
      <c r="J4" s="38" t="s">
        <v>8</v>
      </c>
      <c r="K4" s="11">
        <v>0.86556117367442564</v>
      </c>
      <c r="L4" s="11">
        <v>2.2417650653677073</v>
      </c>
      <c r="M4" s="11">
        <v>0.71079704659316123</v>
      </c>
      <c r="N4" s="11">
        <v>0.93828564830216188</v>
      </c>
      <c r="O4" s="11">
        <v>0.40567632310669394</v>
      </c>
      <c r="P4" s="11">
        <v>3.5011066852654725E-2</v>
      </c>
      <c r="Q4" s="11">
        <v>9.023445082424221E-2</v>
      </c>
      <c r="R4" s="11">
        <v>0.11904968858856187</v>
      </c>
      <c r="S4" s="11">
        <v>0.44969073886593419</v>
      </c>
      <c r="T4" s="11">
        <v>0.39801135785774616</v>
      </c>
      <c r="U4" s="11">
        <v>8.9979855184088339E-2</v>
      </c>
      <c r="V4" s="11">
        <v>0.30688606865422641</v>
      </c>
      <c r="W4" s="11">
        <v>5.3686114274301908E-2</v>
      </c>
      <c r="X4" s="11">
        <v>1.0136856259291433E-2</v>
      </c>
      <c r="Y4" s="11">
        <v>1.260976184139452E-4</v>
      </c>
      <c r="Z4" s="11">
        <v>6.714278154298874E-4</v>
      </c>
      <c r="AA4" s="11">
        <v>5.7456819309836995E-5</v>
      </c>
      <c r="AB4" s="11"/>
      <c r="AC4" s="11"/>
      <c r="AD4" s="11">
        <v>0.86556117367442564</v>
      </c>
      <c r="AE4" s="11">
        <v>2.2417650653677073</v>
      </c>
      <c r="AF4" s="11">
        <v>0.71079704659316123</v>
      </c>
      <c r="AG4" s="11">
        <v>0.93828564830216188</v>
      </c>
      <c r="AH4" s="11">
        <v>0.40567632310669394</v>
      </c>
      <c r="AI4" s="11">
        <v>3.5011066852654725E-2</v>
      </c>
      <c r="AJ4" s="11">
        <v>9.023445082424221E-2</v>
      </c>
      <c r="AK4" s="11">
        <v>0.11904968858856187</v>
      </c>
      <c r="AL4" s="11">
        <v>0.44969073886593419</v>
      </c>
      <c r="AM4" s="11">
        <v>0.39801135785774616</v>
      </c>
      <c r="AN4" s="11">
        <v>8.9979855184088339E-2</v>
      </c>
      <c r="AO4" s="11">
        <v>0.30688606865422641</v>
      </c>
      <c r="AP4" s="11">
        <v>5.3686114274301908E-2</v>
      </c>
      <c r="AQ4" s="11">
        <v>1.0136856259291433E-2</v>
      </c>
      <c r="AR4" s="11">
        <v>1.260976184139452E-4</v>
      </c>
      <c r="AS4" s="11">
        <v>6.714278154298874E-4</v>
      </c>
      <c r="AT4" s="11">
        <v>5.7456819309836995E-5</v>
      </c>
      <c r="AU4" s="11"/>
      <c r="AV4" s="11"/>
      <c r="AW4" s="11">
        <v>1.0623315957023503</v>
      </c>
      <c r="AX4" s="11">
        <v>1.7615025167438414</v>
      </c>
      <c r="AY4" s="11">
        <v>0.73750329602933451</v>
      </c>
      <c r="AZ4" s="11">
        <v>1.0533191814474849</v>
      </c>
      <c r="BA4" s="11">
        <v>0.43085323643604212</v>
      </c>
      <c r="BB4" s="11">
        <v>1.7878463405457418E-2</v>
      </c>
      <c r="BC4" s="11">
        <v>4.6354895502141669E-2</v>
      </c>
      <c r="BD4" s="11">
        <v>0.13271147228823499</v>
      </c>
      <c r="BE4" s="11">
        <v>0.40761906071391346</v>
      </c>
      <c r="BF4" s="11">
        <v>0.47315900882631617</v>
      </c>
      <c r="BG4" s="11">
        <v>7.4496895982495925E-2</v>
      </c>
      <c r="BH4" s="11">
        <v>0.31587553013564579</v>
      </c>
      <c r="BI4" s="11">
        <v>5.7471730092858143E-2</v>
      </c>
      <c r="BJ4" s="11">
        <v>9.1295956205210346E-3</v>
      </c>
      <c r="BK4" s="11">
        <v>7.7982802276049874E-5</v>
      </c>
      <c r="BL4" s="11">
        <v>9.1743036933389149E-4</v>
      </c>
      <c r="BM4" s="11">
        <v>6.1445824132944118E-5</v>
      </c>
      <c r="BN4" s="11"/>
      <c r="BO4" s="11"/>
    </row>
    <row r="5" spans="2:67" ht="72.599999999999994" thickBot="1" x14ac:dyDescent="0.3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5" t="s">
        <v>5</v>
      </c>
      <c r="H5" s="39" t="s">
        <v>6</v>
      </c>
      <c r="I5" s="40">
        <v>2026</v>
      </c>
      <c r="J5" s="40" t="s">
        <v>7</v>
      </c>
      <c r="K5" s="14" t="s">
        <v>9</v>
      </c>
      <c r="L5" s="15" t="s">
        <v>10</v>
      </c>
      <c r="M5" s="14" t="s">
        <v>11</v>
      </c>
      <c r="N5" s="14" t="s">
        <v>12</v>
      </c>
      <c r="O5" s="14" t="s">
        <v>13</v>
      </c>
      <c r="P5" s="14" t="s">
        <v>14</v>
      </c>
      <c r="Q5" s="14" t="s">
        <v>15</v>
      </c>
      <c r="R5" s="14" t="s">
        <v>16</v>
      </c>
      <c r="S5" s="14" t="s">
        <v>17</v>
      </c>
      <c r="T5" s="14" t="s">
        <v>18</v>
      </c>
      <c r="U5" s="14" t="s">
        <v>19</v>
      </c>
      <c r="V5" s="14" t="s">
        <v>20</v>
      </c>
      <c r="W5" s="16" t="s">
        <v>21</v>
      </c>
      <c r="X5" s="16" t="s">
        <v>22</v>
      </c>
      <c r="Y5" s="16" t="s">
        <v>23</v>
      </c>
      <c r="Z5" s="16" t="s">
        <v>24</v>
      </c>
      <c r="AA5" s="16" t="s">
        <v>25</v>
      </c>
      <c r="AB5" s="17" t="s">
        <v>26</v>
      </c>
      <c r="AC5" s="18" t="s">
        <v>27</v>
      </c>
      <c r="AD5" s="14" t="s">
        <v>9</v>
      </c>
      <c r="AE5" s="15" t="s">
        <v>10</v>
      </c>
      <c r="AF5" s="14" t="s">
        <v>11</v>
      </c>
      <c r="AG5" s="14" t="s">
        <v>12</v>
      </c>
      <c r="AH5" s="14" t="s">
        <v>13</v>
      </c>
      <c r="AI5" s="14" t="s">
        <v>14</v>
      </c>
      <c r="AJ5" s="14" t="s">
        <v>15</v>
      </c>
      <c r="AK5" s="14" t="s">
        <v>16</v>
      </c>
      <c r="AL5" s="14" t="s">
        <v>17</v>
      </c>
      <c r="AM5" s="14" t="s">
        <v>18</v>
      </c>
      <c r="AN5" s="14" t="s">
        <v>19</v>
      </c>
      <c r="AO5" s="14" t="s">
        <v>20</v>
      </c>
      <c r="AP5" s="16" t="s">
        <v>21</v>
      </c>
      <c r="AQ5" s="16" t="s">
        <v>22</v>
      </c>
      <c r="AR5" s="16" t="s">
        <v>23</v>
      </c>
      <c r="AS5" s="16" t="s">
        <v>24</v>
      </c>
      <c r="AT5" s="16" t="s">
        <v>25</v>
      </c>
      <c r="AU5" s="17" t="s">
        <v>28</v>
      </c>
      <c r="AV5" s="18" t="s">
        <v>29</v>
      </c>
      <c r="AW5" s="14" t="s">
        <v>9</v>
      </c>
      <c r="AX5" s="15" t="s">
        <v>10</v>
      </c>
      <c r="AY5" s="14" t="s">
        <v>11</v>
      </c>
      <c r="AZ5" s="14" t="s">
        <v>12</v>
      </c>
      <c r="BA5" s="14" t="s">
        <v>13</v>
      </c>
      <c r="BB5" s="14" t="s">
        <v>14</v>
      </c>
      <c r="BC5" s="14" t="s">
        <v>15</v>
      </c>
      <c r="BD5" s="14" t="s">
        <v>16</v>
      </c>
      <c r="BE5" s="14" t="s">
        <v>17</v>
      </c>
      <c r="BF5" s="14" t="s">
        <v>18</v>
      </c>
      <c r="BG5" s="14" t="s">
        <v>19</v>
      </c>
      <c r="BH5" s="14" t="s">
        <v>20</v>
      </c>
      <c r="BI5" s="16" t="s">
        <v>21</v>
      </c>
      <c r="BJ5" s="16" t="s">
        <v>22</v>
      </c>
      <c r="BK5" s="16" t="s">
        <v>23</v>
      </c>
      <c r="BL5" s="16" t="s">
        <v>24</v>
      </c>
      <c r="BM5" s="16" t="s">
        <v>25</v>
      </c>
      <c r="BN5" s="17" t="s">
        <v>30</v>
      </c>
      <c r="BO5" s="18" t="s">
        <v>31</v>
      </c>
    </row>
    <row r="6" spans="2:67" ht="14.4" x14ac:dyDescent="0.3">
      <c r="B6" s="19" t="s">
        <v>103</v>
      </c>
      <c r="C6" s="19" t="s">
        <v>33</v>
      </c>
      <c r="D6" s="19" t="s">
        <v>103</v>
      </c>
      <c r="E6" s="41" t="s">
        <v>35</v>
      </c>
      <c r="F6" s="19" t="s">
        <v>36</v>
      </c>
      <c r="G6" s="19" t="s">
        <v>37</v>
      </c>
      <c r="H6" s="28">
        <v>128.30967467106851</v>
      </c>
      <c r="I6" s="28">
        <v>356.4289950513737</v>
      </c>
      <c r="J6" s="28">
        <v>47.166567101714087</v>
      </c>
      <c r="K6" s="23"/>
      <c r="L6" s="23"/>
      <c r="M6" s="23"/>
      <c r="N6" s="23"/>
      <c r="O6" s="23"/>
      <c r="P6" s="23"/>
      <c r="Q6" s="23"/>
      <c r="R6" s="23">
        <f t="shared" ref="R6:R27" si="0">(H6+K6+L6+M6+N6+P6+S6+T6+O6)*R$4</f>
        <v>22.144354844143923</v>
      </c>
      <c r="S6" s="23">
        <f>H6*S$4</f>
        <v>57.699672406480438</v>
      </c>
      <c r="T6" s="23"/>
      <c r="U6" s="23">
        <f t="shared" ref="U6:U11" si="1">(H6+K6+L6+M6+N6+P6+R6+S6+T6)*U$4</f>
        <v>18.729639954945814</v>
      </c>
      <c r="V6" s="23">
        <f t="shared" ref="V6:V11" si="2">(H6+K6+L6+M6+N6+P6+R6+S6+T6)*V$4</f>
        <v>63.879471258572011</v>
      </c>
      <c r="W6" s="23"/>
      <c r="X6" s="23"/>
      <c r="Y6" s="23"/>
      <c r="Z6" s="23">
        <f t="shared" ref="Z6:Z11" si="3">(H6+K6+L6+M6+N6+P6+S6+T6)*Z$4</f>
        <v>0.12489184955781839</v>
      </c>
      <c r="AA6" s="23">
        <f t="shared" ref="AA6:AA11" si="4">(H6+K6+L6+M6+N6+P6+R6+S6+T6)*AA$4</f>
        <v>1.1959849639988376E-2</v>
      </c>
      <c r="AB6" s="29">
        <f t="shared" ref="AB6:AB34" si="5">SUM(K6:V6)+H6</f>
        <v>290.76281313521065</v>
      </c>
      <c r="AC6" s="30">
        <f>SUM(W6:AA6)</f>
        <v>0.13685169919780676</v>
      </c>
      <c r="AD6" s="23"/>
      <c r="AE6" s="23"/>
      <c r="AF6" s="23"/>
      <c r="AG6" s="23"/>
      <c r="AH6" s="23"/>
      <c r="AI6" s="23"/>
      <c r="AJ6" s="23"/>
      <c r="AK6" s="23">
        <f t="shared" ref="AK6:AK27" si="6">(I6+AD6+AE6+AF6+AG6+AI6+AL6+AM6+AH6)*AK$4</f>
        <v>61.514380450213551</v>
      </c>
      <c r="AL6" s="23">
        <f>I6*AL$4</f>
        <v>160.28281813789465</v>
      </c>
      <c r="AM6" s="23"/>
      <c r="AN6" s="23">
        <f t="shared" ref="AN6:AN11" si="7">(I6+AD6+AE6+AF6+AG6+AI6+AK6+AL6+AM6)*AN$4</f>
        <v>52.0287091673272</v>
      </c>
      <c r="AO6" s="23">
        <f t="shared" ref="AO6:AO11" si="8">(I6+AD6+AE6+AF6+AG6+AI6+AK6+AL6+AM6)*AO$4</f>
        <v>177.44956335891803</v>
      </c>
      <c r="AP6" s="23"/>
      <c r="AQ6" s="23"/>
      <c r="AR6" s="23"/>
      <c r="AS6" s="23">
        <f t="shared" ref="AS6:AS11" si="9">(I6+AD6+AE6+AF6+AG6+AI6+AL6+AM6)*AS$4</f>
        <v>0.34693468393648652</v>
      </c>
      <c r="AT6" s="23">
        <f t="shared" ref="AT6:AT11" si="10">(I6+AD6+AE6+AF6+AG6+AI6+AK6+AL6+AM6)*AT$4</f>
        <v>3.3223037928158526E-2</v>
      </c>
      <c r="AU6" s="29">
        <f t="shared" ref="AU6:AU34" si="11">SUM(AD6:AO6)+I6</f>
        <v>807.70446616572713</v>
      </c>
      <c r="AV6" s="30">
        <f t="shared" ref="AV6:AV34" si="12">SUM(AP6:AT6)</f>
        <v>0.38015772186464503</v>
      </c>
      <c r="AW6" s="23"/>
      <c r="AX6" s="23"/>
      <c r="AY6" s="23"/>
      <c r="AZ6" s="23"/>
      <c r="BA6" s="23"/>
      <c r="BB6" s="23"/>
      <c r="BC6" s="23"/>
      <c r="BD6" s="23">
        <f t="shared" ref="BD6:BD27" si="13">(J6+AW6+AX6+AY6+AZ6+BB6+BE6+BF6+BA6)*BD$4</f>
        <v>8.8110542380562311</v>
      </c>
      <c r="BE6" s="23">
        <f>J6*BE$4</f>
        <v>19.225991779100468</v>
      </c>
      <c r="BF6" s="23"/>
      <c r="BG6" s="23">
        <f t="shared" ref="BG6:BG11" si="14">(J6+AW6+AX6+AY6+AZ6+BB6+BD6+BE6+BF6)*BG$4</f>
        <v>5.6024357440243824</v>
      </c>
      <c r="BH6" s="23">
        <f t="shared" ref="BH6:BH11" si="15">(J6+AW6+AX6+AY6+AZ6+BB6+BD6+BE6+BF6)*BH$4</f>
        <v>23.754981162039314</v>
      </c>
      <c r="BI6" s="23"/>
      <c r="BJ6" s="23"/>
      <c r="BK6" s="23"/>
      <c r="BL6" s="23">
        <f t="shared" ref="BL6:BL11" si="16">(J6+AW6+AX6+AY6+AZ6+BB6+BE6+BF6)*BL$4</f>
        <v>6.0910549815047843E-2</v>
      </c>
      <c r="BM6" s="23">
        <f t="shared" ref="BM6:BM11" si="17">(J6+AW6+AX6+AY6+AZ6+BB6+BD6+BE6+BF6)*BM$4</f>
        <v>4.6209479858641024E-3</v>
      </c>
      <c r="BN6" s="29">
        <f t="shared" ref="BN6:BN34" si="18">SUM(AW6:BH6)+J6</f>
        <v>104.56103002493448</v>
      </c>
      <c r="BO6" s="30">
        <f t="shared" ref="BO6:BO34" si="19">SUM(BI6:BM6)</f>
        <v>6.5531497800911942E-2</v>
      </c>
    </row>
    <row r="7" spans="2:67" ht="14.4" x14ac:dyDescent="0.3">
      <c r="B7" s="19" t="s">
        <v>103</v>
      </c>
      <c r="C7" s="19" t="s">
        <v>33</v>
      </c>
      <c r="D7" s="19" t="s">
        <v>103</v>
      </c>
      <c r="E7" s="42" t="s">
        <v>38</v>
      </c>
      <c r="F7" s="19" t="s">
        <v>39</v>
      </c>
      <c r="G7" s="19" t="s">
        <v>40</v>
      </c>
      <c r="H7" s="28">
        <v>0</v>
      </c>
      <c r="I7" s="28">
        <v>0</v>
      </c>
      <c r="J7" s="28">
        <v>0</v>
      </c>
      <c r="K7" s="23"/>
      <c r="L7" s="23"/>
      <c r="M7" s="23"/>
      <c r="N7" s="23"/>
      <c r="O7" s="23"/>
      <c r="P7" s="23">
        <f>H7*P$4</f>
        <v>0</v>
      </c>
      <c r="Q7" s="23">
        <f>H7*Q$4</f>
        <v>0</v>
      </c>
      <c r="R7" s="23">
        <f>P7*R$4</f>
        <v>0</v>
      </c>
      <c r="S7" s="23"/>
      <c r="T7" s="23"/>
      <c r="U7" s="23">
        <f>(P7+R7)*U$4</f>
        <v>0</v>
      </c>
      <c r="V7" s="23">
        <f>(P7+R7)*V$4</f>
        <v>0</v>
      </c>
      <c r="W7" s="23"/>
      <c r="X7" s="23"/>
      <c r="Y7" s="23">
        <f>H7*Y$4</f>
        <v>0</v>
      </c>
      <c r="Z7" s="23">
        <f>P7*Z$4</f>
        <v>0</v>
      </c>
      <c r="AA7" s="23">
        <f>(P7+R7)*AA$4</f>
        <v>0</v>
      </c>
      <c r="AB7" s="29">
        <f t="shared" si="5"/>
        <v>0</v>
      </c>
      <c r="AC7" s="30">
        <f t="shared" ref="AC7:AC34" si="20">SUM(W7:AA7)</f>
        <v>0</v>
      </c>
      <c r="AD7" s="23"/>
      <c r="AE7" s="23"/>
      <c r="AF7" s="23"/>
      <c r="AG7" s="23"/>
      <c r="AH7" s="23"/>
      <c r="AI7" s="23">
        <f>I7*AI$4</f>
        <v>0</v>
      </c>
      <c r="AJ7" s="23">
        <f>I7*AJ$4</f>
        <v>0</v>
      </c>
      <c r="AK7" s="23">
        <f>AI7*AK$4</f>
        <v>0</v>
      </c>
      <c r="AL7" s="23"/>
      <c r="AM7" s="23"/>
      <c r="AN7" s="23">
        <f>(AI7+AK7)*AN$4</f>
        <v>0</v>
      </c>
      <c r="AO7" s="23">
        <f>(AI7+AK7)*AO$4</f>
        <v>0</v>
      </c>
      <c r="AP7" s="23"/>
      <c r="AQ7" s="23"/>
      <c r="AR7" s="23">
        <f>I7*AR$4</f>
        <v>0</v>
      </c>
      <c r="AS7" s="23">
        <f>AI7*AS$4</f>
        <v>0</v>
      </c>
      <c r="AT7" s="23">
        <f>(AI7+AK7)*AT$4</f>
        <v>0</v>
      </c>
      <c r="AU7" s="29">
        <f t="shared" si="11"/>
        <v>0</v>
      </c>
      <c r="AV7" s="30">
        <f t="shared" si="12"/>
        <v>0</v>
      </c>
      <c r="AW7" s="23"/>
      <c r="AX7" s="23"/>
      <c r="AY7" s="23"/>
      <c r="AZ7" s="23"/>
      <c r="BA7" s="23"/>
      <c r="BB7" s="23">
        <f>J7*BB$4</f>
        <v>0</v>
      </c>
      <c r="BC7" s="23">
        <f>J7*BC$4</f>
        <v>0</v>
      </c>
      <c r="BD7" s="23">
        <f>BB7*BD$4</f>
        <v>0</v>
      </c>
      <c r="BE7" s="23"/>
      <c r="BF7" s="23"/>
      <c r="BG7" s="23">
        <f>(BB7+BD7)*BG$4</f>
        <v>0</v>
      </c>
      <c r="BH7" s="23">
        <f>(BB7+BD7)*BH$4</f>
        <v>0</v>
      </c>
      <c r="BI7" s="23"/>
      <c r="BJ7" s="23"/>
      <c r="BK7" s="23">
        <f>J7*BK$4</f>
        <v>0</v>
      </c>
      <c r="BL7" s="23">
        <f>BB7*BL$4</f>
        <v>0</v>
      </c>
      <c r="BM7" s="23">
        <f>(BB7+BD7)*BM$4</f>
        <v>0</v>
      </c>
      <c r="BN7" s="29">
        <f t="shared" si="18"/>
        <v>0</v>
      </c>
      <c r="BO7" s="30">
        <f t="shared" si="19"/>
        <v>0</v>
      </c>
    </row>
    <row r="8" spans="2:67" ht="14.4" x14ac:dyDescent="0.3">
      <c r="B8" s="19" t="s">
        <v>103</v>
      </c>
      <c r="C8" s="19" t="s">
        <v>33</v>
      </c>
      <c r="D8" s="19" t="s">
        <v>103</v>
      </c>
      <c r="E8" s="41" t="s">
        <v>41</v>
      </c>
      <c r="F8" s="19" t="s">
        <v>42</v>
      </c>
      <c r="G8" s="19" t="s">
        <v>43</v>
      </c>
      <c r="H8" s="28">
        <v>0</v>
      </c>
      <c r="I8" s="28">
        <v>0</v>
      </c>
      <c r="J8" s="28">
        <v>0</v>
      </c>
      <c r="K8" s="23"/>
      <c r="L8" s="23"/>
      <c r="M8" s="23"/>
      <c r="N8" s="23"/>
      <c r="O8" s="23"/>
      <c r="P8" s="23">
        <f>H8*P$4</f>
        <v>0</v>
      </c>
      <c r="Q8" s="23"/>
      <c r="R8" s="23">
        <f>P8*R$4</f>
        <v>0</v>
      </c>
      <c r="S8" s="23"/>
      <c r="T8" s="23"/>
      <c r="U8" s="23">
        <f>(P8+R8)*U$4</f>
        <v>0</v>
      </c>
      <c r="V8" s="23">
        <f>(P8+R8)*V$4</f>
        <v>0</v>
      </c>
      <c r="W8" s="23"/>
      <c r="X8" s="23"/>
      <c r="Y8" s="23">
        <f>H8*Y$4</f>
        <v>0</v>
      </c>
      <c r="Z8" s="23">
        <f>P8*Z$4</f>
        <v>0</v>
      </c>
      <c r="AA8" s="23">
        <f>(P8+R8)*AA$4</f>
        <v>0</v>
      </c>
      <c r="AB8" s="29">
        <f t="shared" si="5"/>
        <v>0</v>
      </c>
      <c r="AC8" s="30">
        <f t="shared" si="20"/>
        <v>0</v>
      </c>
      <c r="AD8" s="23"/>
      <c r="AE8" s="23"/>
      <c r="AF8" s="23"/>
      <c r="AG8" s="23"/>
      <c r="AH8" s="23"/>
      <c r="AI8" s="23">
        <f>I8*AI$4</f>
        <v>0</v>
      </c>
      <c r="AJ8" s="23"/>
      <c r="AK8" s="23">
        <f>AI8*AK$4</f>
        <v>0</v>
      </c>
      <c r="AL8" s="23"/>
      <c r="AM8" s="23"/>
      <c r="AN8" s="23">
        <f>(AI8+AK8)*AN$4</f>
        <v>0</v>
      </c>
      <c r="AO8" s="23">
        <f>(AI8+AK8)*AO$4</f>
        <v>0</v>
      </c>
      <c r="AP8" s="23"/>
      <c r="AQ8" s="23"/>
      <c r="AR8" s="23">
        <f>I8*AR$4</f>
        <v>0</v>
      </c>
      <c r="AS8" s="23">
        <f>AI8*AS$4</f>
        <v>0</v>
      </c>
      <c r="AT8" s="23">
        <f>(AI8+AK8)*AT$4</f>
        <v>0</v>
      </c>
      <c r="AU8" s="29">
        <f t="shared" si="11"/>
        <v>0</v>
      </c>
      <c r="AV8" s="30">
        <f t="shared" si="12"/>
        <v>0</v>
      </c>
      <c r="AW8" s="23"/>
      <c r="AX8" s="23"/>
      <c r="AY8" s="23"/>
      <c r="AZ8" s="23"/>
      <c r="BA8" s="23"/>
      <c r="BB8" s="23">
        <f>J8*BB$4</f>
        <v>0</v>
      </c>
      <c r="BC8" s="23"/>
      <c r="BD8" s="23">
        <f>BB8*BD$4</f>
        <v>0</v>
      </c>
      <c r="BE8" s="23"/>
      <c r="BF8" s="23"/>
      <c r="BG8" s="23">
        <f>(BB8+BD8)*BG$4</f>
        <v>0</v>
      </c>
      <c r="BH8" s="23">
        <f>(BB8+BD8)*BH$4</f>
        <v>0</v>
      </c>
      <c r="BI8" s="23"/>
      <c r="BJ8" s="23"/>
      <c r="BK8" s="23">
        <f>J8*BK$4</f>
        <v>0</v>
      </c>
      <c r="BL8" s="23">
        <f>BB8*BL$4</f>
        <v>0</v>
      </c>
      <c r="BM8" s="23">
        <f>(BB8+BD8)*BM$4</f>
        <v>0</v>
      </c>
      <c r="BN8" s="29">
        <f t="shared" si="18"/>
        <v>0</v>
      </c>
      <c r="BO8" s="30">
        <f t="shared" si="19"/>
        <v>0</v>
      </c>
    </row>
    <row r="9" spans="2:67" ht="14.4" x14ac:dyDescent="0.3">
      <c r="B9" s="19" t="s">
        <v>103</v>
      </c>
      <c r="C9" s="19" t="s">
        <v>33</v>
      </c>
      <c r="D9" s="19" t="s">
        <v>103</v>
      </c>
      <c r="E9" s="19" t="s">
        <v>44</v>
      </c>
      <c r="F9" s="22" t="s">
        <v>45</v>
      </c>
      <c r="G9" s="23" t="s">
        <v>46</v>
      </c>
      <c r="H9" s="28">
        <v>0</v>
      </c>
      <c r="I9" s="28">
        <v>0</v>
      </c>
      <c r="J9" s="28">
        <v>0</v>
      </c>
      <c r="K9" s="23"/>
      <c r="L9" s="23"/>
      <c r="M9" s="23"/>
      <c r="N9" s="23"/>
      <c r="O9" s="23"/>
      <c r="P9" s="23"/>
      <c r="Q9" s="23"/>
      <c r="R9" s="23">
        <f>(H9+K9+L9+M9+N9+P9+S9+T9+O9)*R$4</f>
        <v>0</v>
      </c>
      <c r="S9" s="23"/>
      <c r="T9" s="23"/>
      <c r="U9" s="23">
        <f>(H9+K9+L9+M9+N9+P9+R9+S9+T9)*U$4</f>
        <v>0</v>
      </c>
      <c r="V9" s="23">
        <f>(H9+K9+L9+M9+N9+P9+R9+S9+T9)*V$4</f>
        <v>0</v>
      </c>
      <c r="W9" s="23"/>
      <c r="X9" s="23"/>
      <c r="Y9" s="23"/>
      <c r="Z9" s="23"/>
      <c r="AA9" s="23">
        <f>(H9+K9+L9+M9+N9+P9+R9+S9+T9)*AA$4</f>
        <v>0</v>
      </c>
      <c r="AB9" s="29">
        <f t="shared" si="5"/>
        <v>0</v>
      </c>
      <c r="AC9" s="30">
        <f t="shared" si="20"/>
        <v>0</v>
      </c>
      <c r="AD9" s="23"/>
      <c r="AE9" s="23"/>
      <c r="AF9" s="23"/>
      <c r="AG9" s="23"/>
      <c r="AH9" s="23"/>
      <c r="AI9" s="23"/>
      <c r="AJ9" s="23"/>
      <c r="AK9" s="23">
        <f>(I9+AD9+AE9+AF9+AG9+AI9+AL9+AM9+AH9)*AK$4</f>
        <v>0</v>
      </c>
      <c r="AL9" s="23"/>
      <c r="AM9" s="23"/>
      <c r="AN9" s="23">
        <f>(I9+AD9+AE9+AF9+AG9+AI9+AK9+AL9+AM9)*AN$4</f>
        <v>0</v>
      </c>
      <c r="AO9" s="23">
        <f>(I9+AD9+AE9+AF9+AG9+AI9+AK9+AL9+AM9)*AO$4</f>
        <v>0</v>
      </c>
      <c r="AP9" s="23"/>
      <c r="AQ9" s="23"/>
      <c r="AR9" s="23"/>
      <c r="AS9" s="23"/>
      <c r="AT9" s="23">
        <f>(I9+AD9+AE9+AF9+AG9+AI9+AK9+AL9+AM9)*AT$4</f>
        <v>0</v>
      </c>
      <c r="AU9" s="29">
        <f t="shared" si="11"/>
        <v>0</v>
      </c>
      <c r="AV9" s="30">
        <f t="shared" si="12"/>
        <v>0</v>
      </c>
      <c r="AW9" s="23"/>
      <c r="AX9" s="23"/>
      <c r="AY9" s="23"/>
      <c r="AZ9" s="23"/>
      <c r="BA9" s="23"/>
      <c r="BB9" s="23"/>
      <c r="BC9" s="23"/>
      <c r="BD9" s="23">
        <f>(J9+AW9+AX9+AY9+AZ9+BB9+BE9+BF9+BA9)*BD$4</f>
        <v>0</v>
      </c>
      <c r="BE9" s="23"/>
      <c r="BF9" s="23"/>
      <c r="BG9" s="23">
        <f>(J9+AW9+AX9+AY9+AZ9+BB9+BD9+BE9+BF9)*BG$4</f>
        <v>0</v>
      </c>
      <c r="BH9" s="23">
        <f>(J9+AW9+AX9+AY9+AZ9+BB9+BD9+BE9+BF9)*BH$4</f>
        <v>0</v>
      </c>
      <c r="BI9" s="23"/>
      <c r="BJ9" s="23"/>
      <c r="BK9" s="23"/>
      <c r="BL9" s="23"/>
      <c r="BM9" s="23">
        <f>(J9+AW9+AX9+AY9+AZ9+BB9+BD9+BE9+BF9)*BM$4</f>
        <v>0</v>
      </c>
      <c r="BN9" s="29">
        <f t="shared" si="18"/>
        <v>0</v>
      </c>
      <c r="BO9" s="30">
        <f t="shared" si="19"/>
        <v>0</v>
      </c>
    </row>
    <row r="10" spans="2:67" ht="14.4" x14ac:dyDescent="0.3">
      <c r="B10" s="19" t="s">
        <v>103</v>
      </c>
      <c r="C10" s="19" t="s">
        <v>33</v>
      </c>
      <c r="D10" s="19" t="s">
        <v>103</v>
      </c>
      <c r="E10" s="41" t="s">
        <v>47</v>
      </c>
      <c r="F10" s="19" t="s">
        <v>48</v>
      </c>
      <c r="G10" s="19" t="s">
        <v>49</v>
      </c>
      <c r="H10" s="28">
        <v>0</v>
      </c>
      <c r="I10" s="28">
        <v>0</v>
      </c>
      <c r="J10" s="28">
        <v>0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9">
        <f t="shared" si="5"/>
        <v>0</v>
      </c>
      <c r="AC10" s="30">
        <f t="shared" si="20"/>
        <v>0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9">
        <f t="shared" si="11"/>
        <v>0</v>
      </c>
      <c r="AV10" s="30">
        <f t="shared" si="12"/>
        <v>0</v>
      </c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9">
        <f t="shared" si="18"/>
        <v>0</v>
      </c>
      <c r="BO10" s="30">
        <f t="shared" si="19"/>
        <v>0</v>
      </c>
    </row>
    <row r="11" spans="2:67" ht="14.4" x14ac:dyDescent="0.3">
      <c r="B11" s="19" t="s">
        <v>103</v>
      </c>
      <c r="C11" s="19" t="s">
        <v>33</v>
      </c>
      <c r="D11" s="19" t="s">
        <v>103</v>
      </c>
      <c r="E11" s="19" t="s">
        <v>50</v>
      </c>
      <c r="F11" s="19" t="s">
        <v>51</v>
      </c>
      <c r="G11" s="23" t="s">
        <v>49</v>
      </c>
      <c r="H11" s="28">
        <v>0</v>
      </c>
      <c r="I11" s="28">
        <v>0</v>
      </c>
      <c r="J11" s="28"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9">
        <f t="shared" si="5"/>
        <v>0</v>
      </c>
      <c r="AC11" s="30">
        <f t="shared" si="20"/>
        <v>0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9">
        <f t="shared" si="11"/>
        <v>0</v>
      </c>
      <c r="AV11" s="30">
        <f t="shared" si="12"/>
        <v>0</v>
      </c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9">
        <f t="shared" si="18"/>
        <v>0</v>
      </c>
      <c r="BO11" s="30">
        <f t="shared" si="19"/>
        <v>0</v>
      </c>
    </row>
    <row r="12" spans="2:67" ht="14.4" x14ac:dyDescent="0.3">
      <c r="B12" s="19" t="s">
        <v>103</v>
      </c>
      <c r="C12" s="19" t="s">
        <v>33</v>
      </c>
      <c r="D12" s="19" t="s">
        <v>103</v>
      </c>
      <c r="E12" s="19" t="s">
        <v>52</v>
      </c>
      <c r="F12" s="19" t="s">
        <v>53</v>
      </c>
      <c r="G12" s="24" t="s">
        <v>49</v>
      </c>
      <c r="H12" s="28">
        <v>694.41000000000008</v>
      </c>
      <c r="I12" s="28">
        <v>907.75</v>
      </c>
      <c r="J12" s="28">
        <v>0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9">
        <f t="shared" si="5"/>
        <v>694.41000000000008</v>
      </c>
      <c r="AC12" s="30">
        <f t="shared" si="20"/>
        <v>0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9">
        <f t="shared" si="11"/>
        <v>907.75</v>
      </c>
      <c r="AV12" s="30">
        <f t="shared" si="12"/>
        <v>0</v>
      </c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9">
        <f t="shared" si="18"/>
        <v>0</v>
      </c>
      <c r="BO12" s="30">
        <f t="shared" si="19"/>
        <v>0</v>
      </c>
    </row>
    <row r="13" spans="2:67" ht="14.4" x14ac:dyDescent="0.3">
      <c r="B13" s="19" t="s">
        <v>103</v>
      </c>
      <c r="C13" s="19" t="s">
        <v>33</v>
      </c>
      <c r="D13" s="19" t="s">
        <v>103</v>
      </c>
      <c r="E13" s="19" t="s">
        <v>54</v>
      </c>
      <c r="F13" s="19" t="s">
        <v>55</v>
      </c>
      <c r="G13" s="24" t="s">
        <v>49</v>
      </c>
      <c r="H13" s="28">
        <v>0</v>
      </c>
      <c r="I13" s="28">
        <v>0</v>
      </c>
      <c r="J13" s="28">
        <v>0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9">
        <f t="shared" si="5"/>
        <v>0</v>
      </c>
      <c r="AC13" s="30">
        <f t="shared" si="20"/>
        <v>0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9">
        <f t="shared" si="11"/>
        <v>0</v>
      </c>
      <c r="AV13" s="30">
        <f t="shared" si="12"/>
        <v>0</v>
      </c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9">
        <f t="shared" si="18"/>
        <v>0</v>
      </c>
      <c r="BO13" s="30">
        <f t="shared" si="19"/>
        <v>0</v>
      </c>
    </row>
    <row r="14" spans="2:67" ht="14.4" x14ac:dyDescent="0.3">
      <c r="B14" s="19" t="s">
        <v>103</v>
      </c>
      <c r="C14" s="19" t="s">
        <v>33</v>
      </c>
      <c r="D14" s="19" t="s">
        <v>103</v>
      </c>
      <c r="E14" s="19" t="s">
        <v>56</v>
      </c>
      <c r="F14" s="19" t="s">
        <v>57</v>
      </c>
      <c r="G14" s="24" t="s">
        <v>58</v>
      </c>
      <c r="H14" s="28">
        <v>494.46999999999997</v>
      </c>
      <c r="I14" s="28">
        <v>975.8599999999999</v>
      </c>
      <c r="J14" s="28">
        <v>0.35</v>
      </c>
      <c r="K14" s="23">
        <f t="shared" ref="K14:K24" si="21">H14*K$4</f>
        <v>427.99403354679322</v>
      </c>
      <c r="L14" s="23">
        <f t="shared" ref="L14:L24" si="22">(H14+K14)*L$4</f>
        <v>2067.9476444633856</v>
      </c>
      <c r="M14" s="23"/>
      <c r="N14" s="23"/>
      <c r="O14" s="23"/>
      <c r="P14" s="23"/>
      <c r="Q14" s="23"/>
      <c r="R14" s="23">
        <f t="shared" ref="R14:R34" si="23">(H14+K14+L14+M14+N14+P14+S14+T14+O14)*R$4</f>
        <v>356.00757901871049</v>
      </c>
      <c r="S14" s="23"/>
      <c r="T14" s="23"/>
      <c r="U14" s="23">
        <f t="shared" ref="U14:U28" si="24">(H14+K14+L14+M14+N14+P14+R14+S14+T14)*U$4</f>
        <v>301.11032013270392</v>
      </c>
      <c r="V14" s="23">
        <f t="shared" ref="V14:V28" si="25">(H14+K14+L14+M14+N14+P14+R14+S14+T14)*V$4</f>
        <v>1026.9694498583931</v>
      </c>
      <c r="W14" s="23">
        <f t="shared" ref="W14:W24" si="26">(H14+K14)*W$4</f>
        <v>49.523509518926609</v>
      </c>
      <c r="X14" s="23"/>
      <c r="Y14" s="23"/>
      <c r="Z14" s="23">
        <f t="shared" ref="Z14:Z28" si="27">(H14+K14+L14+M14+N14+P14+S14+T14)*Z$4</f>
        <v>2.0078455802023982</v>
      </c>
      <c r="AA14" s="23">
        <f t="shared" ref="AA14:AA28" si="28">(H14+K14+L14+M14+N14+P14+R14+S14+T14)*AA$4</f>
        <v>0.19227460658606785</v>
      </c>
      <c r="AB14" s="29">
        <f t="shared" si="5"/>
        <v>4674.4990270199869</v>
      </c>
      <c r="AC14" s="30">
        <f t="shared" si="20"/>
        <v>51.723629705715076</v>
      </c>
      <c r="AD14" s="23">
        <f t="shared" ref="AD14:AD24" si="29">I14*AD$4</f>
        <v>844.66652694192487</v>
      </c>
      <c r="AE14" s="23">
        <f t="shared" ref="AE14:AE24" si="30">(I14+AD14)*AE$4</f>
        <v>4081.192768673609</v>
      </c>
      <c r="AF14" s="23"/>
      <c r="AG14" s="23"/>
      <c r="AH14" s="23"/>
      <c r="AI14" s="23"/>
      <c r="AJ14" s="23"/>
      <c r="AK14" s="23">
        <f t="shared" ref="AK14:AK34" si="31">(I14+AD14+AE14+AF14+AG14+AI14+AL14+AM14+AH14)*AK$4</f>
        <v>702.59784428013597</v>
      </c>
      <c r="AL14" s="23"/>
      <c r="AM14" s="23"/>
      <c r="AN14" s="23">
        <f t="shared" ref="AN14:AN28" si="32">(I14+AD14+AE14+AF14+AG14+AI14+AK14+AL14+AM14)*AN$4</f>
        <v>594.25549983760493</v>
      </c>
      <c r="AO14" s="23">
        <f t="shared" ref="AO14:AO28" si="33">(I14+AD14+AE14+AF14+AG14+AI14+AK14+AL14+AM14)*AO$4</f>
        <v>2026.7729232083068</v>
      </c>
      <c r="AP14" s="23">
        <f t="shared" ref="AP14:AP24" si="34">(I14+AD14)*AP$4</f>
        <v>97.736995164802138</v>
      </c>
      <c r="AQ14" s="23"/>
      <c r="AR14" s="23"/>
      <c r="AS14" s="23">
        <f t="shared" ref="AS14:AS28" si="35">(I14+AD14+AE14+AF14+AG14+AI14+AL14+AM14)*AS$4</f>
        <v>3.9625784939355517</v>
      </c>
      <c r="AT14" s="23">
        <f t="shared" ref="AT14:AT28" si="36">(I14+AD14+AE14+AF14+AG14+AI14+AK14+AL14+AM14)*AT$4</f>
        <v>0.37946305657184498</v>
      </c>
      <c r="AU14" s="29">
        <f t="shared" si="11"/>
        <v>9225.3455629415821</v>
      </c>
      <c r="AV14" s="30">
        <f t="shared" si="12"/>
        <v>102.07903671530954</v>
      </c>
      <c r="AW14" s="23">
        <f t="shared" ref="AW14:AW24" si="37">J14*AW$4</f>
        <v>0.37181605849582255</v>
      </c>
      <c r="AX14" s="23">
        <f t="shared" ref="AX14:AX24" si="38">(J14+AW14)*AX$4</f>
        <v>1.2714808036665113</v>
      </c>
      <c r="AY14" s="23"/>
      <c r="AZ14" s="23"/>
      <c r="BA14" s="23"/>
      <c r="BB14" s="23"/>
      <c r="BC14" s="23"/>
      <c r="BD14" s="23">
        <f t="shared" ref="BD14:BD34" si="39">(J14+AW14+AX14+AY14+AZ14+BB14+BE14+BF14+BA14)*BD$4</f>
        <v>0.26453336128508231</v>
      </c>
      <c r="BE14" s="23"/>
      <c r="BF14" s="23"/>
      <c r="BG14" s="23">
        <f t="shared" ref="BG14:BG28" si="40">(J14+AW14+AX14+AY14+AZ14+BB14+BD14+BE14+BF14)*BG$4</f>
        <v>0.16820134330229772</v>
      </c>
      <c r="BH14" s="23">
        <f t="shared" ref="BH14:BH28" si="41">(J14+AW14+AX14+AY14+AZ14+BB14+BD14+BE14+BF14)*BH$4</f>
        <v>0.71319331878773617</v>
      </c>
      <c r="BI14" s="23">
        <f t="shared" ref="BI14:BI24" si="42">(J14+AW14)*BI$4</f>
        <v>4.1484017690562619E-2</v>
      </c>
      <c r="BJ14" s="23"/>
      <c r="BK14" s="23"/>
      <c r="BL14" s="23">
        <f t="shared" ref="BL14:BL28" si="43">(J14+AW14+AX14+AY14+AZ14+BB14+BE14+BF14)*BL$4</f>
        <v>1.8287110764456771E-3</v>
      </c>
      <c r="BM14" s="23">
        <f t="shared" ref="BM14:BM28" si="44">(J14+AW14+AX14+AY14+AZ14+BB14+BD14+BE14+BF14)*BM$4</f>
        <v>1.3873423883199588E-4</v>
      </c>
      <c r="BN14" s="29">
        <f t="shared" si="18"/>
        <v>3.13922488553745</v>
      </c>
      <c r="BO14" s="30">
        <f t="shared" si="19"/>
        <v>4.3451463005840296E-2</v>
      </c>
    </row>
    <row r="15" spans="2:67" ht="14.4" x14ac:dyDescent="0.3">
      <c r="B15" s="19" t="s">
        <v>103</v>
      </c>
      <c r="C15" s="19" t="s">
        <v>33</v>
      </c>
      <c r="D15" s="19" t="s">
        <v>103</v>
      </c>
      <c r="E15" s="25" t="s">
        <v>59</v>
      </c>
      <c r="F15" s="25" t="s">
        <v>60</v>
      </c>
      <c r="G15" s="19" t="s">
        <v>58</v>
      </c>
      <c r="H15" s="28">
        <v>24.46</v>
      </c>
      <c r="I15" s="28">
        <v>68.95</v>
      </c>
      <c r="J15" s="28">
        <v>0</v>
      </c>
      <c r="K15" s="23">
        <f t="shared" si="21"/>
        <v>21.171626308076451</v>
      </c>
      <c r="L15" s="23">
        <f t="shared" si="22"/>
        <v>102.29538573335979</v>
      </c>
      <c r="M15" s="23"/>
      <c r="N15" s="23"/>
      <c r="O15" s="23"/>
      <c r="P15" s="23"/>
      <c r="Q15" s="23"/>
      <c r="R15" s="23">
        <f t="shared" si="23"/>
        <v>17.610664717369424</v>
      </c>
      <c r="S15" s="23"/>
      <c r="T15" s="23"/>
      <c r="U15" s="23">
        <f t="shared" si="24"/>
        <v>14.895056182267759</v>
      </c>
      <c r="V15" s="23">
        <f t="shared" si="25"/>
        <v>50.801206834663965</v>
      </c>
      <c r="W15" s="23">
        <f t="shared" si="26"/>
        <v>2.4497847044976333</v>
      </c>
      <c r="X15" s="23"/>
      <c r="Y15" s="23"/>
      <c r="Z15" s="23">
        <f t="shared" si="27"/>
        <v>9.9322310538052169E-2</v>
      </c>
      <c r="AA15" s="23">
        <f t="shared" si="28"/>
        <v>9.5112683825008988E-3</v>
      </c>
      <c r="AB15" s="29">
        <f t="shared" si="5"/>
        <v>231.23393977573738</v>
      </c>
      <c r="AC15" s="30">
        <f t="shared" si="20"/>
        <v>2.5586182834181863</v>
      </c>
      <c r="AD15" s="23">
        <f t="shared" si="29"/>
        <v>59.680442924851647</v>
      </c>
      <c r="AE15" s="23">
        <f t="shared" si="30"/>
        <v>288.3592332917072</v>
      </c>
      <c r="AF15" s="23"/>
      <c r="AG15" s="23"/>
      <c r="AH15" s="23"/>
      <c r="AI15" s="23"/>
      <c r="AJ15" s="23"/>
      <c r="AK15" s="23">
        <f t="shared" si="31"/>
        <v>49.642491098226571</v>
      </c>
      <c r="AL15" s="23"/>
      <c r="AM15" s="23"/>
      <c r="AN15" s="23">
        <f t="shared" si="32"/>
        <v>41.987494839221675</v>
      </c>
      <c r="AO15" s="23">
        <f t="shared" si="33"/>
        <v>143.2029113348357</v>
      </c>
      <c r="AP15" s="23">
        <f t="shared" si="34"/>
        <v>6.9056686580176549</v>
      </c>
      <c r="AQ15" s="23"/>
      <c r="AR15" s="23"/>
      <c r="AS15" s="23">
        <f t="shared" si="35"/>
        <v>0.2799784673589002</v>
      </c>
      <c r="AT15" s="23">
        <f t="shared" si="36"/>
        <v>2.6811200121563249E-2</v>
      </c>
      <c r="AU15" s="29">
        <f t="shared" si="11"/>
        <v>651.82257348884286</v>
      </c>
      <c r="AV15" s="30">
        <f t="shared" si="12"/>
        <v>7.2124583254981181</v>
      </c>
      <c r="AW15" s="23">
        <f t="shared" si="37"/>
        <v>0</v>
      </c>
      <c r="AX15" s="23">
        <f t="shared" si="38"/>
        <v>0</v>
      </c>
      <c r="AY15" s="23"/>
      <c r="AZ15" s="23"/>
      <c r="BA15" s="23"/>
      <c r="BB15" s="23"/>
      <c r="BC15" s="23"/>
      <c r="BD15" s="23">
        <f t="shared" si="39"/>
        <v>0</v>
      </c>
      <c r="BE15" s="23"/>
      <c r="BF15" s="23"/>
      <c r="BG15" s="23">
        <f t="shared" si="40"/>
        <v>0</v>
      </c>
      <c r="BH15" s="23">
        <f t="shared" si="41"/>
        <v>0</v>
      </c>
      <c r="BI15" s="23">
        <f t="shared" si="42"/>
        <v>0</v>
      </c>
      <c r="BJ15" s="23"/>
      <c r="BK15" s="23"/>
      <c r="BL15" s="23">
        <f t="shared" si="43"/>
        <v>0</v>
      </c>
      <c r="BM15" s="23">
        <f t="shared" si="44"/>
        <v>0</v>
      </c>
      <c r="BN15" s="29">
        <f t="shared" si="18"/>
        <v>0</v>
      </c>
      <c r="BO15" s="30">
        <f t="shared" si="19"/>
        <v>0</v>
      </c>
    </row>
    <row r="16" spans="2:67" ht="14.4" x14ac:dyDescent="0.3">
      <c r="B16" s="19" t="s">
        <v>103</v>
      </c>
      <c r="C16" s="19" t="s">
        <v>33</v>
      </c>
      <c r="D16" s="19" t="s">
        <v>103</v>
      </c>
      <c r="E16" s="19" t="s">
        <v>61</v>
      </c>
      <c r="F16" s="19" t="s">
        <v>62</v>
      </c>
      <c r="G16" s="19" t="s">
        <v>58</v>
      </c>
      <c r="H16" s="28">
        <v>0</v>
      </c>
      <c r="I16" s="28">
        <v>0</v>
      </c>
      <c r="J16" s="28">
        <v>0</v>
      </c>
      <c r="K16" s="23">
        <f t="shared" si="21"/>
        <v>0</v>
      </c>
      <c r="L16" s="23">
        <f t="shared" si="22"/>
        <v>0</v>
      </c>
      <c r="M16" s="23"/>
      <c r="N16" s="23"/>
      <c r="O16" s="23"/>
      <c r="P16" s="23"/>
      <c r="Q16" s="23"/>
      <c r="R16" s="23">
        <f t="shared" si="23"/>
        <v>0</v>
      </c>
      <c r="S16" s="23"/>
      <c r="T16" s="23"/>
      <c r="U16" s="23">
        <f t="shared" si="24"/>
        <v>0</v>
      </c>
      <c r="V16" s="23">
        <f t="shared" si="25"/>
        <v>0</v>
      </c>
      <c r="W16" s="23">
        <f t="shared" si="26"/>
        <v>0</v>
      </c>
      <c r="X16" s="23"/>
      <c r="Y16" s="23"/>
      <c r="Z16" s="23">
        <f t="shared" si="27"/>
        <v>0</v>
      </c>
      <c r="AA16" s="23">
        <f t="shared" si="28"/>
        <v>0</v>
      </c>
      <c r="AB16" s="29">
        <f t="shared" si="5"/>
        <v>0</v>
      </c>
      <c r="AC16" s="30">
        <f t="shared" si="20"/>
        <v>0</v>
      </c>
      <c r="AD16" s="23">
        <f t="shared" si="29"/>
        <v>0</v>
      </c>
      <c r="AE16" s="23">
        <f t="shared" si="30"/>
        <v>0</v>
      </c>
      <c r="AF16" s="23"/>
      <c r="AG16" s="23"/>
      <c r="AH16" s="23"/>
      <c r="AI16" s="23"/>
      <c r="AJ16" s="23"/>
      <c r="AK16" s="23">
        <f t="shared" si="31"/>
        <v>0</v>
      </c>
      <c r="AL16" s="23"/>
      <c r="AM16" s="23"/>
      <c r="AN16" s="23">
        <f t="shared" si="32"/>
        <v>0</v>
      </c>
      <c r="AO16" s="23">
        <f t="shared" si="33"/>
        <v>0</v>
      </c>
      <c r="AP16" s="23">
        <f t="shared" si="34"/>
        <v>0</v>
      </c>
      <c r="AQ16" s="23"/>
      <c r="AR16" s="23"/>
      <c r="AS16" s="23">
        <f t="shared" si="35"/>
        <v>0</v>
      </c>
      <c r="AT16" s="23">
        <f t="shared" si="36"/>
        <v>0</v>
      </c>
      <c r="AU16" s="29">
        <f t="shared" si="11"/>
        <v>0</v>
      </c>
      <c r="AV16" s="30">
        <f t="shared" si="12"/>
        <v>0</v>
      </c>
      <c r="AW16" s="23">
        <f t="shared" si="37"/>
        <v>0</v>
      </c>
      <c r="AX16" s="23">
        <f t="shared" si="38"/>
        <v>0</v>
      </c>
      <c r="AY16" s="23"/>
      <c r="AZ16" s="23"/>
      <c r="BA16" s="23"/>
      <c r="BB16" s="23"/>
      <c r="BC16" s="23"/>
      <c r="BD16" s="23">
        <f t="shared" si="39"/>
        <v>0</v>
      </c>
      <c r="BE16" s="23"/>
      <c r="BF16" s="23"/>
      <c r="BG16" s="23">
        <f t="shared" si="40"/>
        <v>0</v>
      </c>
      <c r="BH16" s="23">
        <f t="shared" si="41"/>
        <v>0</v>
      </c>
      <c r="BI16" s="23">
        <f t="shared" si="42"/>
        <v>0</v>
      </c>
      <c r="BJ16" s="23"/>
      <c r="BK16" s="23"/>
      <c r="BL16" s="23">
        <f t="shared" si="43"/>
        <v>0</v>
      </c>
      <c r="BM16" s="23">
        <f t="shared" si="44"/>
        <v>0</v>
      </c>
      <c r="BN16" s="29">
        <f t="shared" si="18"/>
        <v>0</v>
      </c>
      <c r="BO16" s="30">
        <f t="shared" si="19"/>
        <v>0</v>
      </c>
    </row>
    <row r="17" spans="2:67" ht="14.4" x14ac:dyDescent="0.3">
      <c r="B17" s="19" t="s">
        <v>103</v>
      </c>
      <c r="C17" s="19" t="s">
        <v>33</v>
      </c>
      <c r="D17" s="19" t="s">
        <v>103</v>
      </c>
      <c r="E17" s="19" t="s">
        <v>63</v>
      </c>
      <c r="F17" s="19" t="s">
        <v>64</v>
      </c>
      <c r="G17" s="19" t="s">
        <v>58</v>
      </c>
      <c r="H17" s="28">
        <v>0</v>
      </c>
      <c r="I17" s="28">
        <v>0</v>
      </c>
      <c r="J17" s="28">
        <v>0</v>
      </c>
      <c r="K17" s="23">
        <f t="shared" si="21"/>
        <v>0</v>
      </c>
      <c r="L17" s="23">
        <f t="shared" si="22"/>
        <v>0</v>
      </c>
      <c r="M17" s="23"/>
      <c r="N17" s="23"/>
      <c r="O17" s="23"/>
      <c r="P17" s="23"/>
      <c r="Q17" s="23"/>
      <c r="R17" s="23">
        <f t="shared" si="23"/>
        <v>0</v>
      </c>
      <c r="S17" s="23"/>
      <c r="T17" s="23"/>
      <c r="U17" s="23">
        <f t="shared" si="24"/>
        <v>0</v>
      </c>
      <c r="V17" s="23">
        <f t="shared" si="25"/>
        <v>0</v>
      </c>
      <c r="W17" s="23">
        <f t="shared" si="26"/>
        <v>0</v>
      </c>
      <c r="X17" s="23"/>
      <c r="Y17" s="23"/>
      <c r="Z17" s="23">
        <f t="shared" si="27"/>
        <v>0</v>
      </c>
      <c r="AA17" s="23">
        <f t="shared" si="28"/>
        <v>0</v>
      </c>
      <c r="AB17" s="29">
        <f t="shared" si="5"/>
        <v>0</v>
      </c>
      <c r="AC17" s="30">
        <f t="shared" si="20"/>
        <v>0</v>
      </c>
      <c r="AD17" s="23">
        <f t="shared" si="29"/>
        <v>0</v>
      </c>
      <c r="AE17" s="23">
        <f t="shared" si="30"/>
        <v>0</v>
      </c>
      <c r="AF17" s="23"/>
      <c r="AG17" s="23"/>
      <c r="AH17" s="23"/>
      <c r="AI17" s="23"/>
      <c r="AJ17" s="23"/>
      <c r="AK17" s="23">
        <f t="shared" si="31"/>
        <v>0</v>
      </c>
      <c r="AL17" s="23"/>
      <c r="AM17" s="23"/>
      <c r="AN17" s="23">
        <f t="shared" si="32"/>
        <v>0</v>
      </c>
      <c r="AO17" s="23">
        <f t="shared" si="33"/>
        <v>0</v>
      </c>
      <c r="AP17" s="23">
        <f t="shared" si="34"/>
        <v>0</v>
      </c>
      <c r="AQ17" s="23"/>
      <c r="AR17" s="23"/>
      <c r="AS17" s="23">
        <f t="shared" si="35"/>
        <v>0</v>
      </c>
      <c r="AT17" s="23">
        <f t="shared" si="36"/>
        <v>0</v>
      </c>
      <c r="AU17" s="29">
        <f t="shared" si="11"/>
        <v>0</v>
      </c>
      <c r="AV17" s="30">
        <f t="shared" si="12"/>
        <v>0</v>
      </c>
      <c r="AW17" s="23">
        <f t="shared" si="37"/>
        <v>0</v>
      </c>
      <c r="AX17" s="23">
        <f t="shared" si="38"/>
        <v>0</v>
      </c>
      <c r="AY17" s="23"/>
      <c r="AZ17" s="23"/>
      <c r="BA17" s="23"/>
      <c r="BB17" s="23"/>
      <c r="BC17" s="23"/>
      <c r="BD17" s="23">
        <f t="shared" si="39"/>
        <v>0</v>
      </c>
      <c r="BE17" s="23"/>
      <c r="BF17" s="23"/>
      <c r="BG17" s="23">
        <f t="shared" si="40"/>
        <v>0</v>
      </c>
      <c r="BH17" s="23">
        <f t="shared" si="41"/>
        <v>0</v>
      </c>
      <c r="BI17" s="23">
        <f t="shared" si="42"/>
        <v>0</v>
      </c>
      <c r="BJ17" s="23"/>
      <c r="BK17" s="23"/>
      <c r="BL17" s="23">
        <f t="shared" si="43"/>
        <v>0</v>
      </c>
      <c r="BM17" s="23">
        <f t="shared" si="44"/>
        <v>0</v>
      </c>
      <c r="BN17" s="29">
        <f t="shared" si="18"/>
        <v>0</v>
      </c>
      <c r="BO17" s="30">
        <f t="shared" si="19"/>
        <v>0</v>
      </c>
    </row>
    <row r="18" spans="2:67" ht="14.4" x14ac:dyDescent="0.3">
      <c r="B18" s="19" t="s">
        <v>103</v>
      </c>
      <c r="C18" s="19" t="s">
        <v>33</v>
      </c>
      <c r="D18" s="19" t="s">
        <v>103</v>
      </c>
      <c r="E18" s="19" t="s">
        <v>65</v>
      </c>
      <c r="F18" s="19" t="s">
        <v>66</v>
      </c>
      <c r="G18" s="19" t="s">
        <v>58</v>
      </c>
      <c r="H18" s="28">
        <v>0</v>
      </c>
      <c r="I18" s="28">
        <v>0</v>
      </c>
      <c r="J18" s="28">
        <v>0</v>
      </c>
      <c r="K18" s="23">
        <f t="shared" si="21"/>
        <v>0</v>
      </c>
      <c r="L18" s="23">
        <f t="shared" si="22"/>
        <v>0</v>
      </c>
      <c r="M18" s="23"/>
      <c r="N18" s="23"/>
      <c r="O18" s="23"/>
      <c r="P18" s="23"/>
      <c r="Q18" s="23"/>
      <c r="R18" s="23">
        <f t="shared" si="23"/>
        <v>0</v>
      </c>
      <c r="S18" s="23"/>
      <c r="T18" s="23"/>
      <c r="U18" s="23">
        <f t="shared" si="24"/>
        <v>0</v>
      </c>
      <c r="V18" s="23">
        <f t="shared" si="25"/>
        <v>0</v>
      </c>
      <c r="W18" s="23">
        <f t="shared" si="26"/>
        <v>0</v>
      </c>
      <c r="X18" s="23"/>
      <c r="Y18" s="23"/>
      <c r="Z18" s="23">
        <f t="shared" si="27"/>
        <v>0</v>
      </c>
      <c r="AA18" s="23">
        <f t="shared" si="28"/>
        <v>0</v>
      </c>
      <c r="AB18" s="29">
        <f t="shared" si="5"/>
        <v>0</v>
      </c>
      <c r="AC18" s="30">
        <f t="shared" si="20"/>
        <v>0</v>
      </c>
      <c r="AD18" s="23">
        <f t="shared" si="29"/>
        <v>0</v>
      </c>
      <c r="AE18" s="23">
        <f t="shared" si="30"/>
        <v>0</v>
      </c>
      <c r="AF18" s="23"/>
      <c r="AG18" s="23"/>
      <c r="AH18" s="23"/>
      <c r="AI18" s="23"/>
      <c r="AJ18" s="23"/>
      <c r="AK18" s="23">
        <f t="shared" si="31"/>
        <v>0</v>
      </c>
      <c r="AL18" s="23"/>
      <c r="AM18" s="23"/>
      <c r="AN18" s="23">
        <f t="shared" si="32"/>
        <v>0</v>
      </c>
      <c r="AO18" s="23">
        <f t="shared" si="33"/>
        <v>0</v>
      </c>
      <c r="AP18" s="23">
        <f t="shared" si="34"/>
        <v>0</v>
      </c>
      <c r="AQ18" s="23"/>
      <c r="AR18" s="23"/>
      <c r="AS18" s="23">
        <f t="shared" si="35"/>
        <v>0</v>
      </c>
      <c r="AT18" s="23">
        <f t="shared" si="36"/>
        <v>0</v>
      </c>
      <c r="AU18" s="29">
        <f t="shared" si="11"/>
        <v>0</v>
      </c>
      <c r="AV18" s="30">
        <f t="shared" si="12"/>
        <v>0</v>
      </c>
      <c r="AW18" s="23">
        <f t="shared" si="37"/>
        <v>0</v>
      </c>
      <c r="AX18" s="23">
        <f t="shared" si="38"/>
        <v>0</v>
      </c>
      <c r="AY18" s="23"/>
      <c r="AZ18" s="23"/>
      <c r="BA18" s="23"/>
      <c r="BB18" s="23"/>
      <c r="BC18" s="23"/>
      <c r="BD18" s="23">
        <f t="shared" si="39"/>
        <v>0</v>
      </c>
      <c r="BE18" s="23"/>
      <c r="BF18" s="23"/>
      <c r="BG18" s="23">
        <f t="shared" si="40"/>
        <v>0</v>
      </c>
      <c r="BH18" s="23">
        <f t="shared" si="41"/>
        <v>0</v>
      </c>
      <c r="BI18" s="23">
        <f t="shared" si="42"/>
        <v>0</v>
      </c>
      <c r="BJ18" s="23"/>
      <c r="BK18" s="23"/>
      <c r="BL18" s="23">
        <f t="shared" si="43"/>
        <v>0</v>
      </c>
      <c r="BM18" s="23">
        <f t="shared" si="44"/>
        <v>0</v>
      </c>
      <c r="BN18" s="29">
        <f t="shared" si="18"/>
        <v>0</v>
      </c>
      <c r="BO18" s="30">
        <f t="shared" si="19"/>
        <v>0</v>
      </c>
    </row>
    <row r="19" spans="2:67" ht="14.4" x14ac:dyDescent="0.3">
      <c r="B19" s="19" t="s">
        <v>103</v>
      </c>
      <c r="C19" s="19" t="s">
        <v>33</v>
      </c>
      <c r="D19" s="19" t="s">
        <v>103</v>
      </c>
      <c r="E19" s="19" t="s">
        <v>67</v>
      </c>
      <c r="F19" s="19" t="s">
        <v>68</v>
      </c>
      <c r="G19" s="19" t="s">
        <v>58</v>
      </c>
      <c r="H19" s="28">
        <v>0</v>
      </c>
      <c r="I19" s="28">
        <v>0</v>
      </c>
      <c r="J19" s="28">
        <v>0</v>
      </c>
      <c r="K19" s="23">
        <f t="shared" si="21"/>
        <v>0</v>
      </c>
      <c r="L19" s="23">
        <f t="shared" si="22"/>
        <v>0</v>
      </c>
      <c r="M19" s="23"/>
      <c r="N19" s="23"/>
      <c r="O19" s="23"/>
      <c r="P19" s="23"/>
      <c r="Q19" s="23"/>
      <c r="R19" s="23">
        <f t="shared" si="23"/>
        <v>0</v>
      </c>
      <c r="S19" s="23"/>
      <c r="T19" s="23"/>
      <c r="U19" s="23">
        <f t="shared" si="24"/>
        <v>0</v>
      </c>
      <c r="V19" s="23">
        <f t="shared" si="25"/>
        <v>0</v>
      </c>
      <c r="W19" s="23">
        <f t="shared" si="26"/>
        <v>0</v>
      </c>
      <c r="X19" s="23"/>
      <c r="Y19" s="23"/>
      <c r="Z19" s="23">
        <f t="shared" si="27"/>
        <v>0</v>
      </c>
      <c r="AA19" s="23">
        <f t="shared" si="28"/>
        <v>0</v>
      </c>
      <c r="AB19" s="29">
        <f t="shared" si="5"/>
        <v>0</v>
      </c>
      <c r="AC19" s="30">
        <f t="shared" si="20"/>
        <v>0</v>
      </c>
      <c r="AD19" s="23">
        <f t="shared" si="29"/>
        <v>0</v>
      </c>
      <c r="AE19" s="23">
        <f t="shared" si="30"/>
        <v>0</v>
      </c>
      <c r="AF19" s="23"/>
      <c r="AG19" s="23"/>
      <c r="AH19" s="23"/>
      <c r="AI19" s="23"/>
      <c r="AJ19" s="23"/>
      <c r="AK19" s="23">
        <f t="shared" si="31"/>
        <v>0</v>
      </c>
      <c r="AL19" s="23"/>
      <c r="AM19" s="23"/>
      <c r="AN19" s="23">
        <f t="shared" si="32"/>
        <v>0</v>
      </c>
      <c r="AO19" s="23">
        <f t="shared" si="33"/>
        <v>0</v>
      </c>
      <c r="AP19" s="23">
        <f t="shared" si="34"/>
        <v>0</v>
      </c>
      <c r="AQ19" s="23"/>
      <c r="AR19" s="23"/>
      <c r="AS19" s="23">
        <f t="shared" si="35"/>
        <v>0</v>
      </c>
      <c r="AT19" s="23">
        <f t="shared" si="36"/>
        <v>0</v>
      </c>
      <c r="AU19" s="29">
        <f t="shared" si="11"/>
        <v>0</v>
      </c>
      <c r="AV19" s="30">
        <f t="shared" si="12"/>
        <v>0</v>
      </c>
      <c r="AW19" s="23">
        <f t="shared" si="37"/>
        <v>0</v>
      </c>
      <c r="AX19" s="23">
        <f t="shared" si="38"/>
        <v>0</v>
      </c>
      <c r="AY19" s="23"/>
      <c r="AZ19" s="23"/>
      <c r="BA19" s="23"/>
      <c r="BB19" s="23"/>
      <c r="BC19" s="23"/>
      <c r="BD19" s="23">
        <f t="shared" si="39"/>
        <v>0</v>
      </c>
      <c r="BE19" s="23"/>
      <c r="BF19" s="23"/>
      <c r="BG19" s="23">
        <f t="shared" si="40"/>
        <v>0</v>
      </c>
      <c r="BH19" s="23">
        <f t="shared" si="41"/>
        <v>0</v>
      </c>
      <c r="BI19" s="23">
        <f t="shared" si="42"/>
        <v>0</v>
      </c>
      <c r="BJ19" s="23"/>
      <c r="BK19" s="23"/>
      <c r="BL19" s="23">
        <f t="shared" si="43"/>
        <v>0</v>
      </c>
      <c r="BM19" s="23">
        <f t="shared" si="44"/>
        <v>0</v>
      </c>
      <c r="BN19" s="29">
        <f t="shared" si="18"/>
        <v>0</v>
      </c>
      <c r="BO19" s="30">
        <f t="shared" si="19"/>
        <v>0</v>
      </c>
    </row>
    <row r="20" spans="2:67" ht="14.4" x14ac:dyDescent="0.3">
      <c r="B20" s="19" t="s">
        <v>103</v>
      </c>
      <c r="C20" s="19" t="s">
        <v>33</v>
      </c>
      <c r="D20" s="19" t="s">
        <v>103</v>
      </c>
      <c r="E20" s="19" t="s">
        <v>69</v>
      </c>
      <c r="F20" s="19" t="s">
        <v>70</v>
      </c>
      <c r="G20" s="19" t="s">
        <v>58</v>
      </c>
      <c r="H20" s="28">
        <v>0</v>
      </c>
      <c r="I20" s="28">
        <v>0</v>
      </c>
      <c r="J20" s="28">
        <v>0</v>
      </c>
      <c r="K20" s="23">
        <f t="shared" si="21"/>
        <v>0</v>
      </c>
      <c r="L20" s="23">
        <f t="shared" si="22"/>
        <v>0</v>
      </c>
      <c r="M20" s="23"/>
      <c r="N20" s="23"/>
      <c r="O20" s="23"/>
      <c r="P20" s="23"/>
      <c r="Q20" s="23"/>
      <c r="R20" s="23">
        <f t="shared" si="23"/>
        <v>0</v>
      </c>
      <c r="S20" s="23"/>
      <c r="T20" s="23"/>
      <c r="U20" s="23">
        <f t="shared" si="24"/>
        <v>0</v>
      </c>
      <c r="V20" s="23">
        <f t="shared" si="25"/>
        <v>0</v>
      </c>
      <c r="W20" s="23">
        <f t="shared" si="26"/>
        <v>0</v>
      </c>
      <c r="X20" s="23"/>
      <c r="Y20" s="23"/>
      <c r="Z20" s="23">
        <f t="shared" si="27"/>
        <v>0</v>
      </c>
      <c r="AA20" s="23">
        <f t="shared" si="28"/>
        <v>0</v>
      </c>
      <c r="AB20" s="29">
        <f t="shared" si="5"/>
        <v>0</v>
      </c>
      <c r="AC20" s="30">
        <f t="shared" si="20"/>
        <v>0</v>
      </c>
      <c r="AD20" s="23">
        <f t="shared" si="29"/>
        <v>0</v>
      </c>
      <c r="AE20" s="23">
        <f t="shared" si="30"/>
        <v>0</v>
      </c>
      <c r="AF20" s="23"/>
      <c r="AG20" s="23"/>
      <c r="AH20" s="23"/>
      <c r="AI20" s="23"/>
      <c r="AJ20" s="23"/>
      <c r="AK20" s="23">
        <f t="shared" si="31"/>
        <v>0</v>
      </c>
      <c r="AL20" s="23"/>
      <c r="AM20" s="23"/>
      <c r="AN20" s="23">
        <f t="shared" si="32"/>
        <v>0</v>
      </c>
      <c r="AO20" s="23">
        <f t="shared" si="33"/>
        <v>0</v>
      </c>
      <c r="AP20" s="23">
        <f t="shared" si="34"/>
        <v>0</v>
      </c>
      <c r="AQ20" s="23"/>
      <c r="AR20" s="23"/>
      <c r="AS20" s="23">
        <f t="shared" si="35"/>
        <v>0</v>
      </c>
      <c r="AT20" s="23">
        <f t="shared" si="36"/>
        <v>0</v>
      </c>
      <c r="AU20" s="29">
        <f t="shared" si="11"/>
        <v>0</v>
      </c>
      <c r="AV20" s="30">
        <f t="shared" si="12"/>
        <v>0</v>
      </c>
      <c r="AW20" s="23">
        <f t="shared" si="37"/>
        <v>0</v>
      </c>
      <c r="AX20" s="23">
        <f t="shared" si="38"/>
        <v>0</v>
      </c>
      <c r="AY20" s="23"/>
      <c r="AZ20" s="23"/>
      <c r="BA20" s="23"/>
      <c r="BB20" s="23"/>
      <c r="BC20" s="23"/>
      <c r="BD20" s="23">
        <f t="shared" si="39"/>
        <v>0</v>
      </c>
      <c r="BE20" s="23"/>
      <c r="BF20" s="23"/>
      <c r="BG20" s="23">
        <f t="shared" si="40"/>
        <v>0</v>
      </c>
      <c r="BH20" s="23">
        <f t="shared" si="41"/>
        <v>0</v>
      </c>
      <c r="BI20" s="23">
        <f t="shared" si="42"/>
        <v>0</v>
      </c>
      <c r="BJ20" s="23"/>
      <c r="BK20" s="23"/>
      <c r="BL20" s="23">
        <f t="shared" si="43"/>
        <v>0</v>
      </c>
      <c r="BM20" s="23">
        <f t="shared" si="44"/>
        <v>0</v>
      </c>
      <c r="BN20" s="29">
        <f t="shared" si="18"/>
        <v>0</v>
      </c>
      <c r="BO20" s="30">
        <f t="shared" si="19"/>
        <v>0</v>
      </c>
    </row>
    <row r="21" spans="2:67" ht="14.4" x14ac:dyDescent="0.3">
      <c r="B21" s="19" t="s">
        <v>103</v>
      </c>
      <c r="C21" s="19" t="s">
        <v>33</v>
      </c>
      <c r="D21" s="19" t="s">
        <v>103</v>
      </c>
      <c r="E21" s="19" t="s">
        <v>71</v>
      </c>
      <c r="F21" s="19" t="s">
        <v>72</v>
      </c>
      <c r="G21" s="19" t="s">
        <v>58</v>
      </c>
      <c r="H21" s="28">
        <v>0</v>
      </c>
      <c r="I21" s="28">
        <v>0</v>
      </c>
      <c r="J21" s="28">
        <v>0</v>
      </c>
      <c r="K21" s="23">
        <f t="shared" si="21"/>
        <v>0</v>
      </c>
      <c r="L21" s="23">
        <f t="shared" si="22"/>
        <v>0</v>
      </c>
      <c r="M21" s="23"/>
      <c r="N21" s="23"/>
      <c r="O21" s="23"/>
      <c r="P21" s="23"/>
      <c r="Q21" s="23"/>
      <c r="R21" s="23">
        <f t="shared" si="23"/>
        <v>0</v>
      </c>
      <c r="S21" s="23"/>
      <c r="T21" s="23"/>
      <c r="U21" s="23">
        <f t="shared" si="24"/>
        <v>0</v>
      </c>
      <c r="V21" s="23">
        <f t="shared" si="25"/>
        <v>0</v>
      </c>
      <c r="W21" s="23">
        <f t="shared" si="26"/>
        <v>0</v>
      </c>
      <c r="X21" s="23"/>
      <c r="Y21" s="23"/>
      <c r="Z21" s="23">
        <f t="shared" si="27"/>
        <v>0</v>
      </c>
      <c r="AA21" s="23">
        <f t="shared" si="28"/>
        <v>0</v>
      </c>
      <c r="AB21" s="29">
        <f t="shared" si="5"/>
        <v>0</v>
      </c>
      <c r="AC21" s="30">
        <f t="shared" si="20"/>
        <v>0</v>
      </c>
      <c r="AD21" s="23">
        <f t="shared" si="29"/>
        <v>0</v>
      </c>
      <c r="AE21" s="23">
        <f t="shared" si="30"/>
        <v>0</v>
      </c>
      <c r="AF21" s="23"/>
      <c r="AG21" s="23"/>
      <c r="AH21" s="23"/>
      <c r="AI21" s="23"/>
      <c r="AJ21" s="23"/>
      <c r="AK21" s="23">
        <f t="shared" si="31"/>
        <v>0</v>
      </c>
      <c r="AL21" s="23"/>
      <c r="AM21" s="23"/>
      <c r="AN21" s="23">
        <f t="shared" si="32"/>
        <v>0</v>
      </c>
      <c r="AO21" s="23">
        <f t="shared" si="33"/>
        <v>0</v>
      </c>
      <c r="AP21" s="23">
        <f t="shared" si="34"/>
        <v>0</v>
      </c>
      <c r="AQ21" s="23"/>
      <c r="AR21" s="23"/>
      <c r="AS21" s="23">
        <f t="shared" si="35"/>
        <v>0</v>
      </c>
      <c r="AT21" s="23">
        <f t="shared" si="36"/>
        <v>0</v>
      </c>
      <c r="AU21" s="29">
        <f t="shared" si="11"/>
        <v>0</v>
      </c>
      <c r="AV21" s="30">
        <f t="shared" si="12"/>
        <v>0</v>
      </c>
      <c r="AW21" s="23">
        <f t="shared" si="37"/>
        <v>0</v>
      </c>
      <c r="AX21" s="23">
        <f t="shared" si="38"/>
        <v>0</v>
      </c>
      <c r="AY21" s="23"/>
      <c r="AZ21" s="23"/>
      <c r="BA21" s="23"/>
      <c r="BB21" s="23"/>
      <c r="BC21" s="23"/>
      <c r="BD21" s="23">
        <f t="shared" si="39"/>
        <v>0</v>
      </c>
      <c r="BE21" s="23"/>
      <c r="BF21" s="23"/>
      <c r="BG21" s="23">
        <f t="shared" si="40"/>
        <v>0</v>
      </c>
      <c r="BH21" s="23">
        <f t="shared" si="41"/>
        <v>0</v>
      </c>
      <c r="BI21" s="23">
        <f t="shared" si="42"/>
        <v>0</v>
      </c>
      <c r="BJ21" s="23"/>
      <c r="BK21" s="23"/>
      <c r="BL21" s="23">
        <f t="shared" si="43"/>
        <v>0</v>
      </c>
      <c r="BM21" s="23">
        <f t="shared" si="44"/>
        <v>0</v>
      </c>
      <c r="BN21" s="29">
        <f t="shared" si="18"/>
        <v>0</v>
      </c>
      <c r="BO21" s="30">
        <f t="shared" si="19"/>
        <v>0</v>
      </c>
    </row>
    <row r="22" spans="2:67" ht="14.4" x14ac:dyDescent="0.3">
      <c r="B22" s="19" t="s">
        <v>103</v>
      </c>
      <c r="C22" s="19" t="s">
        <v>33</v>
      </c>
      <c r="D22" s="19" t="s">
        <v>103</v>
      </c>
      <c r="E22" s="19" t="s">
        <v>73</v>
      </c>
      <c r="F22" s="19" t="s">
        <v>74</v>
      </c>
      <c r="G22" s="19" t="s">
        <v>58</v>
      </c>
      <c r="H22" s="28">
        <v>0</v>
      </c>
      <c r="I22" s="28">
        <v>0</v>
      </c>
      <c r="J22" s="28">
        <v>0</v>
      </c>
      <c r="K22" s="23">
        <f t="shared" si="21"/>
        <v>0</v>
      </c>
      <c r="L22" s="23">
        <f t="shared" si="22"/>
        <v>0</v>
      </c>
      <c r="M22" s="23"/>
      <c r="N22" s="23"/>
      <c r="O22" s="23"/>
      <c r="P22" s="23"/>
      <c r="Q22" s="23"/>
      <c r="R22" s="23">
        <f t="shared" si="23"/>
        <v>0</v>
      </c>
      <c r="S22" s="23"/>
      <c r="T22" s="23"/>
      <c r="U22" s="23">
        <f t="shared" si="24"/>
        <v>0</v>
      </c>
      <c r="V22" s="23">
        <f t="shared" si="25"/>
        <v>0</v>
      </c>
      <c r="W22" s="23">
        <f t="shared" si="26"/>
        <v>0</v>
      </c>
      <c r="X22" s="23"/>
      <c r="Y22" s="23"/>
      <c r="Z22" s="23">
        <f t="shared" si="27"/>
        <v>0</v>
      </c>
      <c r="AA22" s="23">
        <f t="shared" si="28"/>
        <v>0</v>
      </c>
      <c r="AB22" s="29">
        <f t="shared" si="5"/>
        <v>0</v>
      </c>
      <c r="AC22" s="30">
        <f t="shared" si="20"/>
        <v>0</v>
      </c>
      <c r="AD22" s="23">
        <f t="shared" si="29"/>
        <v>0</v>
      </c>
      <c r="AE22" s="23">
        <f t="shared" si="30"/>
        <v>0</v>
      </c>
      <c r="AF22" s="23"/>
      <c r="AG22" s="23"/>
      <c r="AH22" s="23"/>
      <c r="AI22" s="23"/>
      <c r="AJ22" s="23"/>
      <c r="AK22" s="23">
        <f t="shared" si="31"/>
        <v>0</v>
      </c>
      <c r="AL22" s="23"/>
      <c r="AM22" s="23"/>
      <c r="AN22" s="23">
        <f t="shared" si="32"/>
        <v>0</v>
      </c>
      <c r="AO22" s="23">
        <f t="shared" si="33"/>
        <v>0</v>
      </c>
      <c r="AP22" s="23">
        <f t="shared" si="34"/>
        <v>0</v>
      </c>
      <c r="AQ22" s="23"/>
      <c r="AR22" s="23"/>
      <c r="AS22" s="23">
        <f t="shared" si="35"/>
        <v>0</v>
      </c>
      <c r="AT22" s="23">
        <f t="shared" si="36"/>
        <v>0</v>
      </c>
      <c r="AU22" s="29">
        <f t="shared" si="11"/>
        <v>0</v>
      </c>
      <c r="AV22" s="30">
        <f t="shared" si="12"/>
        <v>0</v>
      </c>
      <c r="AW22" s="23">
        <f t="shared" si="37"/>
        <v>0</v>
      </c>
      <c r="AX22" s="23">
        <f t="shared" si="38"/>
        <v>0</v>
      </c>
      <c r="AY22" s="23"/>
      <c r="AZ22" s="23"/>
      <c r="BA22" s="23"/>
      <c r="BB22" s="23"/>
      <c r="BC22" s="23"/>
      <c r="BD22" s="23">
        <f t="shared" si="39"/>
        <v>0</v>
      </c>
      <c r="BE22" s="23"/>
      <c r="BF22" s="23"/>
      <c r="BG22" s="23">
        <f t="shared" si="40"/>
        <v>0</v>
      </c>
      <c r="BH22" s="23">
        <f t="shared" si="41"/>
        <v>0</v>
      </c>
      <c r="BI22" s="23">
        <f t="shared" si="42"/>
        <v>0</v>
      </c>
      <c r="BJ22" s="23"/>
      <c r="BK22" s="23"/>
      <c r="BL22" s="23">
        <f t="shared" si="43"/>
        <v>0</v>
      </c>
      <c r="BM22" s="23">
        <f t="shared" si="44"/>
        <v>0</v>
      </c>
      <c r="BN22" s="29">
        <f t="shared" si="18"/>
        <v>0</v>
      </c>
      <c r="BO22" s="30">
        <f t="shared" si="19"/>
        <v>0</v>
      </c>
    </row>
    <row r="23" spans="2:67" ht="14.4" x14ac:dyDescent="0.3">
      <c r="B23" s="19" t="s">
        <v>103</v>
      </c>
      <c r="C23" s="19" t="s">
        <v>33</v>
      </c>
      <c r="D23" s="19" t="s">
        <v>103</v>
      </c>
      <c r="E23" s="41" t="s">
        <v>75</v>
      </c>
      <c r="F23" s="19" t="s">
        <v>76</v>
      </c>
      <c r="G23" s="19" t="s">
        <v>58</v>
      </c>
      <c r="H23" s="28">
        <v>0</v>
      </c>
      <c r="I23" s="28">
        <v>0</v>
      </c>
      <c r="J23" s="28">
        <v>0</v>
      </c>
      <c r="K23" s="23">
        <f t="shared" si="21"/>
        <v>0</v>
      </c>
      <c r="L23" s="23">
        <f t="shared" si="22"/>
        <v>0</v>
      </c>
      <c r="M23" s="23"/>
      <c r="N23" s="23"/>
      <c r="O23" s="23"/>
      <c r="P23" s="23"/>
      <c r="Q23" s="23"/>
      <c r="R23" s="23">
        <f t="shared" si="23"/>
        <v>0</v>
      </c>
      <c r="S23" s="23"/>
      <c r="T23" s="23"/>
      <c r="U23" s="23">
        <f t="shared" si="24"/>
        <v>0</v>
      </c>
      <c r="V23" s="23">
        <f t="shared" si="25"/>
        <v>0</v>
      </c>
      <c r="W23" s="23">
        <f t="shared" si="26"/>
        <v>0</v>
      </c>
      <c r="X23" s="23"/>
      <c r="Y23" s="23"/>
      <c r="Z23" s="23">
        <f t="shared" si="27"/>
        <v>0</v>
      </c>
      <c r="AA23" s="23">
        <f t="shared" si="28"/>
        <v>0</v>
      </c>
      <c r="AB23" s="29">
        <f t="shared" si="5"/>
        <v>0</v>
      </c>
      <c r="AC23" s="30">
        <f t="shared" si="20"/>
        <v>0</v>
      </c>
      <c r="AD23" s="23">
        <f t="shared" si="29"/>
        <v>0</v>
      </c>
      <c r="AE23" s="23">
        <f t="shared" si="30"/>
        <v>0</v>
      </c>
      <c r="AF23" s="23"/>
      <c r="AG23" s="23"/>
      <c r="AH23" s="23"/>
      <c r="AI23" s="23"/>
      <c r="AJ23" s="23"/>
      <c r="AK23" s="23">
        <f t="shared" si="31"/>
        <v>0</v>
      </c>
      <c r="AL23" s="23"/>
      <c r="AM23" s="23"/>
      <c r="AN23" s="23">
        <f t="shared" si="32"/>
        <v>0</v>
      </c>
      <c r="AO23" s="23">
        <f t="shared" si="33"/>
        <v>0</v>
      </c>
      <c r="AP23" s="23">
        <f t="shared" si="34"/>
        <v>0</v>
      </c>
      <c r="AQ23" s="23"/>
      <c r="AR23" s="23"/>
      <c r="AS23" s="23">
        <f t="shared" si="35"/>
        <v>0</v>
      </c>
      <c r="AT23" s="23">
        <f t="shared" si="36"/>
        <v>0</v>
      </c>
      <c r="AU23" s="29">
        <f t="shared" si="11"/>
        <v>0</v>
      </c>
      <c r="AV23" s="30">
        <f t="shared" si="12"/>
        <v>0</v>
      </c>
      <c r="AW23" s="23">
        <f t="shared" si="37"/>
        <v>0</v>
      </c>
      <c r="AX23" s="23">
        <f t="shared" si="38"/>
        <v>0</v>
      </c>
      <c r="AY23" s="23"/>
      <c r="AZ23" s="23"/>
      <c r="BA23" s="23"/>
      <c r="BB23" s="23"/>
      <c r="BC23" s="23"/>
      <c r="BD23" s="23">
        <f t="shared" si="39"/>
        <v>0</v>
      </c>
      <c r="BE23" s="23"/>
      <c r="BF23" s="23"/>
      <c r="BG23" s="23">
        <f t="shared" si="40"/>
        <v>0</v>
      </c>
      <c r="BH23" s="23">
        <f t="shared" si="41"/>
        <v>0</v>
      </c>
      <c r="BI23" s="23">
        <f t="shared" si="42"/>
        <v>0</v>
      </c>
      <c r="BJ23" s="23"/>
      <c r="BK23" s="23"/>
      <c r="BL23" s="23">
        <f t="shared" si="43"/>
        <v>0</v>
      </c>
      <c r="BM23" s="23">
        <f t="shared" si="44"/>
        <v>0</v>
      </c>
      <c r="BN23" s="29">
        <f t="shared" si="18"/>
        <v>0</v>
      </c>
      <c r="BO23" s="30">
        <f t="shared" si="19"/>
        <v>0</v>
      </c>
    </row>
    <row r="24" spans="2:67" ht="14.4" x14ac:dyDescent="0.3">
      <c r="B24" s="19" t="s">
        <v>103</v>
      </c>
      <c r="C24" s="19" t="s">
        <v>33</v>
      </c>
      <c r="D24" s="19" t="s">
        <v>103</v>
      </c>
      <c r="E24" s="19" t="s">
        <v>77</v>
      </c>
      <c r="F24" s="25" t="s">
        <v>78</v>
      </c>
      <c r="G24" s="19" t="s">
        <v>58</v>
      </c>
      <c r="H24" s="28">
        <v>2864.6600000000003</v>
      </c>
      <c r="I24" s="28">
        <v>4837.57</v>
      </c>
      <c r="J24" s="28">
        <v>2.98</v>
      </c>
      <c r="K24" s="23">
        <f t="shared" si="21"/>
        <v>2479.5384717781803</v>
      </c>
      <c r="L24" s="23">
        <f t="shared" si="22"/>
        <v>11980.437436423814</v>
      </c>
      <c r="M24" s="23"/>
      <c r="N24" s="23"/>
      <c r="O24" s="23"/>
      <c r="P24" s="23"/>
      <c r="Q24" s="23"/>
      <c r="R24" s="23">
        <f t="shared" si="23"/>
        <v>2062.492509781664</v>
      </c>
      <c r="S24" s="23"/>
      <c r="T24" s="23"/>
      <c r="U24" s="23">
        <f t="shared" si="24"/>
        <v>1744.4510074854932</v>
      </c>
      <c r="V24" s="23">
        <f t="shared" si="25"/>
        <v>5949.6396226896368</v>
      </c>
      <c r="W24" s="23">
        <f t="shared" si="26"/>
        <v>286.90924986043302</v>
      </c>
      <c r="X24" s="23"/>
      <c r="Y24" s="23"/>
      <c r="Z24" s="23">
        <f t="shared" si="27"/>
        <v>11.63224244096225</v>
      </c>
      <c r="AA24" s="23">
        <f t="shared" si="28"/>
        <v>1.1139227344486931</v>
      </c>
      <c r="AB24" s="29">
        <f t="shared" si="5"/>
        <v>27081.219048158786</v>
      </c>
      <c r="AC24" s="30">
        <f t="shared" si="20"/>
        <v>299.65541503584399</v>
      </c>
      <c r="AD24" s="23">
        <f t="shared" si="29"/>
        <v>4187.2127669321908</v>
      </c>
      <c r="AE24" s="23">
        <f t="shared" si="30"/>
        <v>20231.4427294411</v>
      </c>
      <c r="AF24" s="23"/>
      <c r="AG24" s="23"/>
      <c r="AH24" s="23"/>
      <c r="AI24" s="23"/>
      <c r="AJ24" s="23"/>
      <c r="AK24" s="23">
        <f t="shared" si="31"/>
        <v>3482.9445346199841</v>
      </c>
      <c r="AL24" s="23"/>
      <c r="AM24" s="23"/>
      <c r="AN24" s="23">
        <f t="shared" si="32"/>
        <v>2945.8657782360197</v>
      </c>
      <c r="AO24" s="23">
        <f t="shared" si="33"/>
        <v>10047.195181813793</v>
      </c>
      <c r="AP24" s="23">
        <f t="shared" si="34"/>
        <v>484.50551892627215</v>
      </c>
      <c r="AQ24" s="23"/>
      <c r="AR24" s="23"/>
      <c r="AS24" s="23">
        <f t="shared" si="35"/>
        <v>19.643443572754094</v>
      </c>
      <c r="AT24" s="23">
        <f t="shared" si="36"/>
        <v>1.8810885768248111</v>
      </c>
      <c r="AU24" s="29">
        <f t="shared" si="11"/>
        <v>45732.230991043085</v>
      </c>
      <c r="AV24" s="30">
        <f t="shared" si="12"/>
        <v>506.03005107585108</v>
      </c>
      <c r="AW24" s="23">
        <f t="shared" si="37"/>
        <v>3.1657481551930036</v>
      </c>
      <c r="AX24" s="23">
        <f t="shared" si="38"/>
        <v>10.825750842646297</v>
      </c>
      <c r="AY24" s="23"/>
      <c r="AZ24" s="23"/>
      <c r="BA24" s="23"/>
      <c r="BB24" s="23"/>
      <c r="BC24" s="23"/>
      <c r="BD24" s="23">
        <f t="shared" si="39"/>
        <v>2.2523126189415583</v>
      </c>
      <c r="BE24" s="23"/>
      <c r="BF24" s="23"/>
      <c r="BG24" s="23">
        <f t="shared" si="40"/>
        <v>1.4321142944024206</v>
      </c>
      <c r="BH24" s="23">
        <f t="shared" si="41"/>
        <v>6.0723316856784404</v>
      </c>
      <c r="BI24" s="23">
        <f t="shared" si="42"/>
        <v>0.35320677919393317</v>
      </c>
      <c r="BJ24" s="23"/>
      <c r="BK24" s="23"/>
      <c r="BL24" s="23">
        <f t="shared" si="43"/>
        <v>1.557016859373748E-2</v>
      </c>
      <c r="BM24" s="23">
        <f t="shared" si="44"/>
        <v>1.1812229477695649E-3</v>
      </c>
      <c r="BN24" s="29">
        <f t="shared" si="18"/>
        <v>26.72825759686172</v>
      </c>
      <c r="BO24" s="30">
        <f t="shared" si="19"/>
        <v>0.36995817073544024</v>
      </c>
    </row>
    <row r="25" spans="2:67" ht="14.4" x14ac:dyDescent="0.3">
      <c r="B25" s="19" t="s">
        <v>103</v>
      </c>
      <c r="C25" s="26" t="s">
        <v>33</v>
      </c>
      <c r="D25" s="19" t="s">
        <v>103</v>
      </c>
      <c r="E25" s="26" t="s">
        <v>79</v>
      </c>
      <c r="F25" s="27" t="s">
        <v>80</v>
      </c>
      <c r="G25" s="26" t="s">
        <v>81</v>
      </c>
      <c r="H25" s="28">
        <v>1993.55</v>
      </c>
      <c r="I25" s="31">
        <v>4621.892942491927</v>
      </c>
      <c r="J25" s="31">
        <v>44.318230971740896</v>
      </c>
      <c r="K25" s="32"/>
      <c r="L25" s="32"/>
      <c r="M25" s="32">
        <f>H25*M$4</f>
        <v>1417.0094522357965</v>
      </c>
      <c r="N25" s="32">
        <f>(H25+M25)*N$4</f>
        <v>3200.0789867141302</v>
      </c>
      <c r="O25" s="32"/>
      <c r="P25" s="32"/>
      <c r="Q25" s="32"/>
      <c r="R25" s="32">
        <f t="shared" si="23"/>
        <v>786.99444752856562</v>
      </c>
      <c r="S25" s="32"/>
      <c r="T25" s="32"/>
      <c r="U25" s="32">
        <f t="shared" si="24"/>
        <v>665.63793583038421</v>
      </c>
      <c r="V25" s="32">
        <f t="shared" si="25"/>
        <v>2270.230473878602</v>
      </c>
      <c r="W25" s="32"/>
      <c r="X25" s="32">
        <f>(H25+M25)*X$4</f>
        <v>34.572350931081999</v>
      </c>
      <c r="Y25" s="32"/>
      <c r="Z25" s="32">
        <f t="shared" si="27"/>
        <v>4.438566525660991</v>
      </c>
      <c r="AA25" s="32">
        <f t="shared" si="28"/>
        <v>0.42504445607890268</v>
      </c>
      <c r="AB25" s="33">
        <f t="shared" si="5"/>
        <v>10333.501296187478</v>
      </c>
      <c r="AC25" s="34">
        <f>SUM(W25:AA25)</f>
        <v>39.435961912821888</v>
      </c>
      <c r="AD25" s="32"/>
      <c r="AE25" s="32"/>
      <c r="AF25" s="32">
        <f>I25*AF$4</f>
        <v>3285.2278531930374</v>
      </c>
      <c r="AG25" s="32">
        <f>(I25+AF25)*AG$4</f>
        <v>7419.137961982773</v>
      </c>
      <c r="AH25" s="32"/>
      <c r="AI25" s="32"/>
      <c r="AJ25" s="32"/>
      <c r="AK25" s="32">
        <f t="shared" si="31"/>
        <v>1824.5863323280632</v>
      </c>
      <c r="AL25" s="32"/>
      <c r="AM25" s="32"/>
      <c r="AN25" s="32">
        <f t="shared" si="32"/>
        <v>1543.2305574825548</v>
      </c>
      <c r="AO25" s="32">
        <f t="shared" si="33"/>
        <v>5263.355423766453</v>
      </c>
      <c r="AP25" s="32"/>
      <c r="AQ25" s="32">
        <f>(I25+AF25)*AQ$4</f>
        <v>80.153346930712601</v>
      </c>
      <c r="AR25" s="32"/>
      <c r="AS25" s="32">
        <f t="shared" si="35"/>
        <v>10.290476436374028</v>
      </c>
      <c r="AT25" s="32">
        <f t="shared" si="36"/>
        <v>0.98543300734689376</v>
      </c>
      <c r="AU25" s="33">
        <f t="shared" si="11"/>
        <v>23957.431071244806</v>
      </c>
      <c r="AV25" s="34">
        <f t="shared" si="12"/>
        <v>91.429256374433521</v>
      </c>
      <c r="AW25" s="32"/>
      <c r="AX25" s="32"/>
      <c r="AY25" s="32">
        <f>J25*AY$4</f>
        <v>32.684841415848247</v>
      </c>
      <c r="AZ25" s="32">
        <f>(J25+AY25)*AZ$4</f>
        <v>81.108813176236822</v>
      </c>
      <c r="BA25" s="32"/>
      <c r="BB25" s="32"/>
      <c r="BC25" s="32"/>
      <c r="BD25" s="32">
        <f t="shared" si="39"/>
        <v>20.983261119444272</v>
      </c>
      <c r="BE25" s="32"/>
      <c r="BF25" s="32"/>
      <c r="BG25" s="32">
        <f t="shared" si="40"/>
        <v>13.342032513433434</v>
      </c>
      <c r="BH25" s="32">
        <f t="shared" si="41"/>
        <v>56.571774403299237</v>
      </c>
      <c r="BI25" s="32"/>
      <c r="BJ25" s="32">
        <f>(J25+AY25)*BJ$4</f>
        <v>0.70300691243639801</v>
      </c>
      <c r="BK25" s="32"/>
      <c r="BL25" s="32">
        <f t="shared" si="43"/>
        <v>0.14505664556889886</v>
      </c>
      <c r="BM25" s="32">
        <f t="shared" si="44"/>
        <v>1.1004648886164054E-2</v>
      </c>
      <c r="BN25" s="33">
        <f>SUM(AW25:BH25)+J25</f>
        <v>249.00895360000288</v>
      </c>
      <c r="BO25" s="34">
        <f>SUM(BI25:BM25)</f>
        <v>0.85906820689146091</v>
      </c>
    </row>
    <row r="26" spans="2:67" ht="14.4" x14ac:dyDescent="0.3">
      <c r="B26" s="19" t="s">
        <v>103</v>
      </c>
      <c r="C26" s="26" t="s">
        <v>33</v>
      </c>
      <c r="D26" s="19" t="s">
        <v>103</v>
      </c>
      <c r="E26" s="26" t="s">
        <v>82</v>
      </c>
      <c r="F26" s="27" t="s">
        <v>83</v>
      </c>
      <c r="G26" s="26" t="s">
        <v>81</v>
      </c>
      <c r="H26" s="28">
        <v>0</v>
      </c>
      <c r="I26" s="31">
        <v>102.18834109927316</v>
      </c>
      <c r="J26" s="31"/>
      <c r="K26" s="32"/>
      <c r="L26" s="32"/>
      <c r="M26" s="32">
        <f>H26*M$4</f>
        <v>0</v>
      </c>
      <c r="N26" s="32">
        <f>(H26+M26)*N$4</f>
        <v>0</v>
      </c>
      <c r="O26" s="32"/>
      <c r="P26" s="32"/>
      <c r="Q26" s="32"/>
      <c r="R26" s="32">
        <f t="shared" si="23"/>
        <v>0</v>
      </c>
      <c r="S26" s="32"/>
      <c r="T26" s="32"/>
      <c r="U26" s="32">
        <f t="shared" si="24"/>
        <v>0</v>
      </c>
      <c r="V26" s="32">
        <f t="shared" si="25"/>
        <v>0</v>
      </c>
      <c r="W26" s="32"/>
      <c r="X26" s="32">
        <f>(H26+M26)*X$4</f>
        <v>0</v>
      </c>
      <c r="Y26" s="32"/>
      <c r="Z26" s="32">
        <f t="shared" si="27"/>
        <v>0</v>
      </c>
      <c r="AA26" s="32">
        <f t="shared" si="28"/>
        <v>0</v>
      </c>
      <c r="AB26" s="33">
        <f t="shared" si="5"/>
        <v>0</v>
      </c>
      <c r="AC26" s="34">
        <f>SUM(W26:AA26)</f>
        <v>0</v>
      </c>
      <c r="AD26" s="32"/>
      <c r="AE26" s="32"/>
      <c r="AF26" s="32">
        <f>I26*AF$4</f>
        <v>72.635171049617924</v>
      </c>
      <c r="AG26" s="32">
        <f>(I26+AF26)*AG$4</f>
        <v>164.03439243508316</v>
      </c>
      <c r="AH26" s="32"/>
      <c r="AI26" s="32"/>
      <c r="AJ26" s="32"/>
      <c r="AK26" s="32">
        <f t="shared" si="31"/>
        <v>40.340928016494743</v>
      </c>
      <c r="AL26" s="32"/>
      <c r="AM26" s="32"/>
      <c r="AN26" s="32">
        <f t="shared" si="32"/>
        <v>34.120256043365551</v>
      </c>
      <c r="AO26" s="32">
        <f t="shared" si="33"/>
        <v>116.37083897503003</v>
      </c>
      <c r="AP26" s="32"/>
      <c r="AQ26" s="32">
        <f>(I26+AF26)*AQ$4</f>
        <v>1.7721608133977986</v>
      </c>
      <c r="AR26" s="32"/>
      <c r="AS26" s="32">
        <f t="shared" si="35"/>
        <v>0.22751862261596706</v>
      </c>
      <c r="AT26" s="32">
        <f t="shared" si="36"/>
        <v>2.178755880722627E-2</v>
      </c>
      <c r="AU26" s="33">
        <f t="shared" si="11"/>
        <v>529.68992761886454</v>
      </c>
      <c r="AV26" s="34">
        <f t="shared" si="12"/>
        <v>2.021466994820992</v>
      </c>
      <c r="AW26" s="32"/>
      <c r="AX26" s="32"/>
      <c r="AY26" s="32">
        <f>J26*AY$4</f>
        <v>0</v>
      </c>
      <c r="AZ26" s="32">
        <f>(J26+AY26)*AZ$4</f>
        <v>0</v>
      </c>
      <c r="BA26" s="32"/>
      <c r="BB26" s="32"/>
      <c r="BC26" s="32"/>
      <c r="BD26" s="32">
        <f t="shared" si="39"/>
        <v>0</v>
      </c>
      <c r="BE26" s="32"/>
      <c r="BF26" s="32"/>
      <c r="BG26" s="32">
        <f t="shared" si="40"/>
        <v>0</v>
      </c>
      <c r="BH26" s="32">
        <f t="shared" si="41"/>
        <v>0</v>
      </c>
      <c r="BI26" s="32"/>
      <c r="BJ26" s="32">
        <f>(J26+AY26)*BJ$4</f>
        <v>0</v>
      </c>
      <c r="BK26" s="32"/>
      <c r="BL26" s="32">
        <f t="shared" si="43"/>
        <v>0</v>
      </c>
      <c r="BM26" s="32">
        <f t="shared" si="44"/>
        <v>0</v>
      </c>
      <c r="BN26" s="33">
        <f>SUM(AW26:BH26)+J26</f>
        <v>0</v>
      </c>
      <c r="BO26" s="34">
        <f>SUM(BI26:BM26)</f>
        <v>0</v>
      </c>
    </row>
    <row r="27" spans="2:67" ht="14.4" x14ac:dyDescent="0.3">
      <c r="B27" s="19" t="s">
        <v>103</v>
      </c>
      <c r="C27" s="19" t="s">
        <v>33</v>
      </c>
      <c r="D27" s="19" t="s">
        <v>103</v>
      </c>
      <c r="E27" s="41" t="s">
        <v>84</v>
      </c>
      <c r="F27" s="19" t="s">
        <v>85</v>
      </c>
      <c r="G27" s="19" t="s">
        <v>86</v>
      </c>
      <c r="H27" s="28">
        <v>263.90193866157693</v>
      </c>
      <c r="I27" s="28">
        <v>549.98145421932293</v>
      </c>
      <c r="J27" s="28">
        <v>92.165201926545123</v>
      </c>
      <c r="K27" s="23"/>
      <c r="L27" s="23"/>
      <c r="M27" s="23">
        <f>H27*M$4</f>
        <v>187.58071859085848</v>
      </c>
      <c r="N27" s="23">
        <f>(H27+M27)*N$4</f>
        <v>423.61969775728409</v>
      </c>
      <c r="O27" s="23"/>
      <c r="P27" s="23"/>
      <c r="Q27" s="23"/>
      <c r="R27" s="23">
        <f t="shared" si="23"/>
        <v>104.18066284702422</v>
      </c>
      <c r="S27" s="23"/>
      <c r="T27" s="23"/>
      <c r="U27" s="23">
        <f t="shared" si="24"/>
        <v>88.115744130986798</v>
      </c>
      <c r="V27" s="23">
        <f t="shared" si="25"/>
        <v>300.52831544990266</v>
      </c>
      <c r="W27" s="23"/>
      <c r="X27" s="23">
        <f>(H27+M27)*X$4</f>
        <v>4.5766148001308782</v>
      </c>
      <c r="Y27" s="23"/>
      <c r="Z27" s="23">
        <f t="shared" si="27"/>
        <v>0.58756806250172577</v>
      </c>
      <c r="AA27" s="23">
        <f t="shared" si="28"/>
        <v>5.6266487410186805E-2</v>
      </c>
      <c r="AB27" s="29">
        <f t="shared" si="5"/>
        <v>1367.9270774376332</v>
      </c>
      <c r="AC27" s="30">
        <f t="shared" si="20"/>
        <v>5.2204493500427906</v>
      </c>
      <c r="AD27" s="23"/>
      <c r="AE27" s="23"/>
      <c r="AF27" s="23">
        <f>I27*AF$4</f>
        <v>390.92519334010666</v>
      </c>
      <c r="AG27" s="23">
        <f>(I27+AF27)*AG$4</f>
        <v>882.8392037971131</v>
      </c>
      <c r="AH27" s="23"/>
      <c r="AI27" s="23"/>
      <c r="AJ27" s="23"/>
      <c r="AK27" s="23">
        <f t="shared" si="31"/>
        <v>217.11637566867802</v>
      </c>
      <c r="AL27" s="23"/>
      <c r="AM27" s="23"/>
      <c r="AN27" s="23">
        <f t="shared" si="32"/>
        <v>183.63648763840536</v>
      </c>
      <c r="AO27" s="23">
        <f t="shared" si="33"/>
        <v>626.31218551667928</v>
      </c>
      <c r="AP27" s="23"/>
      <c r="AQ27" s="23">
        <f>(I27+AF27)*AQ$4</f>
        <v>9.5378354397217215</v>
      </c>
      <c r="AR27" s="23"/>
      <c r="AS27" s="23">
        <f t="shared" si="35"/>
        <v>1.2245136928756435</v>
      </c>
      <c r="AT27" s="23">
        <f t="shared" si="36"/>
        <v>0.11726145221445963</v>
      </c>
      <c r="AU27" s="29">
        <f t="shared" si="11"/>
        <v>2850.8109001803055</v>
      </c>
      <c r="AV27" s="30">
        <f t="shared" si="12"/>
        <v>10.879610584811823</v>
      </c>
      <c r="AW27" s="23"/>
      <c r="AX27" s="23"/>
      <c r="AY27" s="23">
        <f>J27*AY$4</f>
        <v>67.972140200036193</v>
      </c>
      <c r="AZ27" s="23">
        <f>(J27+AY27)*AZ$4</f>
        <v>168.67573412794647</v>
      </c>
      <c r="BA27" s="23"/>
      <c r="BB27" s="23"/>
      <c r="BC27" s="23"/>
      <c r="BD27" s="23">
        <f t="shared" si="39"/>
        <v>43.637267457362064</v>
      </c>
      <c r="BE27" s="23"/>
      <c r="BF27" s="23"/>
      <c r="BG27" s="23">
        <f t="shared" si="40"/>
        <v>27.746394514149515</v>
      </c>
      <c r="BH27" s="23">
        <f t="shared" si="41"/>
        <v>117.64794976919669</v>
      </c>
      <c r="BI27" s="23"/>
      <c r="BJ27" s="23">
        <f>(J27+AY27)*BJ$4</f>
        <v>1.4619891773607152</v>
      </c>
      <c r="BK27" s="23"/>
      <c r="BL27" s="23">
        <f t="shared" si="43"/>
        <v>0.30166310199000446</v>
      </c>
      <c r="BM27" s="23">
        <f t="shared" si="44"/>
        <v>2.2885518317975372E-2</v>
      </c>
      <c r="BN27" s="29">
        <f t="shared" si="18"/>
        <v>517.84468799523609</v>
      </c>
      <c r="BO27" s="30">
        <f t="shared" si="19"/>
        <v>1.7865377976686951</v>
      </c>
    </row>
    <row r="28" spans="2:67" ht="14.4" x14ac:dyDescent="0.3">
      <c r="B28" s="19" t="s">
        <v>103</v>
      </c>
      <c r="C28" s="19" t="s">
        <v>33</v>
      </c>
      <c r="D28" s="19" t="s">
        <v>103</v>
      </c>
      <c r="E28" s="41" t="s">
        <v>87</v>
      </c>
      <c r="F28" s="19" t="s">
        <v>88</v>
      </c>
      <c r="G28" s="19" t="s">
        <v>81</v>
      </c>
      <c r="H28" s="28">
        <v>0</v>
      </c>
      <c r="I28" s="28">
        <v>0</v>
      </c>
      <c r="J28" s="28">
        <v>0</v>
      </c>
      <c r="K28" s="23"/>
      <c r="L28" s="23"/>
      <c r="M28" s="23"/>
      <c r="N28" s="23">
        <f>(H28+M28)*N$4</f>
        <v>0</v>
      </c>
      <c r="O28" s="23"/>
      <c r="P28" s="23"/>
      <c r="Q28" s="23"/>
      <c r="R28" s="23">
        <f t="shared" si="23"/>
        <v>0</v>
      </c>
      <c r="S28" s="23"/>
      <c r="T28" s="23"/>
      <c r="U28" s="23">
        <f t="shared" si="24"/>
        <v>0</v>
      </c>
      <c r="V28" s="23">
        <f t="shared" si="25"/>
        <v>0</v>
      </c>
      <c r="W28" s="23"/>
      <c r="X28" s="23">
        <f>(H28+M28)*X$4</f>
        <v>0</v>
      </c>
      <c r="Y28" s="23"/>
      <c r="Z28" s="23">
        <f t="shared" si="27"/>
        <v>0</v>
      </c>
      <c r="AA28" s="23">
        <f t="shared" si="28"/>
        <v>0</v>
      </c>
      <c r="AB28" s="29">
        <f t="shared" si="5"/>
        <v>0</v>
      </c>
      <c r="AC28" s="30">
        <f t="shared" si="20"/>
        <v>0</v>
      </c>
      <c r="AD28" s="23"/>
      <c r="AE28" s="23"/>
      <c r="AF28" s="23"/>
      <c r="AG28" s="23">
        <f>(I28+AF28)*AG$4</f>
        <v>0</v>
      </c>
      <c r="AH28" s="23"/>
      <c r="AI28" s="23"/>
      <c r="AJ28" s="23"/>
      <c r="AK28" s="23">
        <f t="shared" si="31"/>
        <v>0</v>
      </c>
      <c r="AL28" s="23"/>
      <c r="AM28" s="23"/>
      <c r="AN28" s="23">
        <f t="shared" si="32"/>
        <v>0</v>
      </c>
      <c r="AO28" s="23">
        <f t="shared" si="33"/>
        <v>0</v>
      </c>
      <c r="AP28" s="23"/>
      <c r="AQ28" s="23">
        <f>(I28+AF28)*AQ$4</f>
        <v>0</v>
      </c>
      <c r="AR28" s="23"/>
      <c r="AS28" s="23">
        <f t="shared" si="35"/>
        <v>0</v>
      </c>
      <c r="AT28" s="23">
        <f t="shared" si="36"/>
        <v>0</v>
      </c>
      <c r="AU28" s="29">
        <f t="shared" si="11"/>
        <v>0</v>
      </c>
      <c r="AV28" s="30">
        <f t="shared" si="12"/>
        <v>0</v>
      </c>
      <c r="AW28" s="23"/>
      <c r="AX28" s="23"/>
      <c r="AY28" s="23"/>
      <c r="AZ28" s="23">
        <f>(J28+AY28)*AZ$4</f>
        <v>0</v>
      </c>
      <c r="BA28" s="23"/>
      <c r="BB28" s="23"/>
      <c r="BC28" s="23"/>
      <c r="BD28" s="23">
        <f t="shared" si="39"/>
        <v>0</v>
      </c>
      <c r="BE28" s="23"/>
      <c r="BF28" s="23"/>
      <c r="BG28" s="23">
        <f t="shared" si="40"/>
        <v>0</v>
      </c>
      <c r="BH28" s="23">
        <f t="shared" si="41"/>
        <v>0</v>
      </c>
      <c r="BI28" s="23"/>
      <c r="BJ28" s="23">
        <f>(J28+AY28)*BJ$4</f>
        <v>0</v>
      </c>
      <c r="BK28" s="23"/>
      <c r="BL28" s="23">
        <f t="shared" si="43"/>
        <v>0</v>
      </c>
      <c r="BM28" s="23">
        <f t="shared" si="44"/>
        <v>0</v>
      </c>
      <c r="BN28" s="29">
        <f t="shared" si="18"/>
        <v>0</v>
      </c>
      <c r="BO28" s="30">
        <f t="shared" si="19"/>
        <v>0</v>
      </c>
    </row>
    <row r="29" spans="2:67" ht="14.4" x14ac:dyDescent="0.3">
      <c r="B29" s="19" t="s">
        <v>103</v>
      </c>
      <c r="C29" s="19" t="s">
        <v>33</v>
      </c>
      <c r="D29" s="19" t="s">
        <v>103</v>
      </c>
      <c r="E29" s="22" t="s">
        <v>89</v>
      </c>
      <c r="F29" s="19" t="s">
        <v>90</v>
      </c>
      <c r="G29" s="19" t="s">
        <v>91</v>
      </c>
      <c r="H29" s="28">
        <v>20.048386667354453</v>
      </c>
      <c r="I29" s="28">
        <v>60.363740378824758</v>
      </c>
      <c r="J29" s="28">
        <v>0</v>
      </c>
      <c r="K29" s="23"/>
      <c r="L29" s="23"/>
      <c r="M29" s="23"/>
      <c r="N29" s="23"/>
      <c r="O29" s="23">
        <f>H29*O$4</f>
        <v>8.1331557874336209</v>
      </c>
      <c r="P29" s="23"/>
      <c r="Q29" s="23"/>
      <c r="R29" s="23">
        <f t="shared" si="23"/>
        <v>3.3550038531878554</v>
      </c>
      <c r="S29" s="23"/>
      <c r="T29" s="23"/>
      <c r="U29" s="23">
        <f>(H29+K29+L29+M29+N29+P29+R29+S29+T29+O29)*U$4</f>
        <v>2.8376538697979701</v>
      </c>
      <c r="V29" s="23">
        <f>(H29+K29+L29+M29+N29+P29+R29+S29+T29+O29)*V$4</f>
        <v>9.6781267153866928</v>
      </c>
      <c r="W29" s="23"/>
      <c r="X29" s="23"/>
      <c r="Y29" s="23"/>
      <c r="Z29" s="23">
        <f>(H29+K29+L29+M29+N29+P29+S29+T29+O29)*Z$4</f>
        <v>1.8921871485862982E-2</v>
      </c>
      <c r="AA29" s="23">
        <f>(H29+K29+L29+M29+N29+P29+R29+S29+T29+O29)*AA$4</f>
        <v>1.8119896428736802E-3</v>
      </c>
      <c r="AB29" s="29">
        <f t="shared" si="5"/>
        <v>44.052326893160597</v>
      </c>
      <c r="AC29" s="30">
        <f t="shared" si="20"/>
        <v>2.0733861128736663E-2</v>
      </c>
      <c r="AD29" s="23"/>
      <c r="AE29" s="23"/>
      <c r="AF29" s="23"/>
      <c r="AG29" s="23"/>
      <c r="AH29" s="23">
        <f>I29*AH$4</f>
        <v>24.488140245848701</v>
      </c>
      <c r="AI29" s="23"/>
      <c r="AJ29" s="23"/>
      <c r="AK29" s="23">
        <f t="shared" si="31"/>
        <v>10.101589964521201</v>
      </c>
      <c r="AL29" s="23"/>
      <c r="AM29" s="23"/>
      <c r="AN29" s="23">
        <f>(I29+AD29+AE29+AF29+AG29+AI29+AK29+AL29+AM29+AH29)*AN$4</f>
        <v>8.5438995328423264</v>
      </c>
      <c r="AO29" s="23">
        <f>(I29+AD29+AE29+AF29+AG29+AI29+AK29+AL29+AM29+AH29)*AO$4</f>
        <v>29.139897294192657</v>
      </c>
      <c r="AP29" s="23"/>
      <c r="AQ29" s="23"/>
      <c r="AR29" s="23"/>
      <c r="AS29" s="23">
        <f>(I29+AD29+AE29+AF29+AG29+AI29+AL29+AM29+AH29)*AS$4</f>
        <v>5.6971912842942091E-2</v>
      </c>
      <c r="AT29" s="23">
        <f>(I29+AD29+AE29+AF29+AG29+AI29+AK29+AL29+AM29+AH29)*AT$4</f>
        <v>5.4557244024852781E-3</v>
      </c>
      <c r="AU29" s="29">
        <f t="shared" si="11"/>
        <v>132.63726741622963</v>
      </c>
      <c r="AV29" s="30">
        <f t="shared" si="12"/>
        <v>6.2427637245427367E-2</v>
      </c>
      <c r="AW29" s="23"/>
      <c r="AX29" s="23"/>
      <c r="AY29" s="23"/>
      <c r="AZ29" s="23"/>
      <c r="BA29" s="23">
        <f>J29*$BL$4</f>
        <v>0</v>
      </c>
      <c r="BB29" s="23"/>
      <c r="BC29" s="23"/>
      <c r="BD29" s="23">
        <f t="shared" si="39"/>
        <v>0</v>
      </c>
      <c r="BE29" s="23"/>
      <c r="BF29" s="23"/>
      <c r="BG29" s="23">
        <f>(J29+AW29+AX29+AY29+AZ29+BB29+BD29+BE29+BF29+BA29)*BG$4</f>
        <v>0</v>
      </c>
      <c r="BH29" s="23">
        <f>(J29+AW29+AX29+AY29+AZ29+BB29+BD29+BE29+BF29+BA29)*BH$4</f>
        <v>0</v>
      </c>
      <c r="BI29" s="23"/>
      <c r="BJ29" s="23"/>
      <c r="BK29" s="23"/>
      <c r="BL29" s="23">
        <f>(J29+AW29+AX29+AY29+AZ29+BB29+BE29+BF29+BA29)*BL$4</f>
        <v>0</v>
      </c>
      <c r="BM29" s="23">
        <f>(J29+AW29+AX29+AY29+AZ29+BB29+BD29+BE29+BF29+BA29)*BM$4</f>
        <v>0</v>
      </c>
      <c r="BN29" s="29">
        <f t="shared" si="18"/>
        <v>0</v>
      </c>
      <c r="BO29" s="30">
        <f t="shared" si="19"/>
        <v>0</v>
      </c>
    </row>
    <row r="30" spans="2:67" ht="14.4" x14ac:dyDescent="0.3">
      <c r="B30" s="19" t="s">
        <v>103</v>
      </c>
      <c r="C30" s="19" t="s">
        <v>33</v>
      </c>
      <c r="D30" s="19" t="s">
        <v>103</v>
      </c>
      <c r="E30" s="19" t="s">
        <v>92</v>
      </c>
      <c r="F30" s="19" t="s">
        <v>93</v>
      </c>
      <c r="G30" s="19" t="s">
        <v>58</v>
      </c>
      <c r="H30" s="28">
        <v>0</v>
      </c>
      <c r="I30" s="28">
        <v>0</v>
      </c>
      <c r="J30" s="28">
        <v>0</v>
      </c>
      <c r="K30" s="23">
        <f>H30*K$4</f>
        <v>0</v>
      </c>
      <c r="L30" s="23">
        <f>(H30+K30)*L$4</f>
        <v>0</v>
      </c>
      <c r="M30" s="23"/>
      <c r="N30" s="23"/>
      <c r="O30" s="23"/>
      <c r="P30" s="23"/>
      <c r="Q30" s="23"/>
      <c r="R30" s="23">
        <f t="shared" si="23"/>
        <v>0</v>
      </c>
      <c r="S30" s="23"/>
      <c r="T30" s="23"/>
      <c r="U30" s="23">
        <f t="shared" ref="U30:U34" si="45">(H30+K30+L30+M30+N30+P30+R30+S30+T30)*U$4</f>
        <v>0</v>
      </c>
      <c r="V30" s="23">
        <f t="shared" ref="V30:V34" si="46">(H30+K30+L30+M30+N30+P30+R30+S30+T30)*V$4</f>
        <v>0</v>
      </c>
      <c r="W30" s="23">
        <f>(H30+K30)*W$4</f>
        <v>0</v>
      </c>
      <c r="X30" s="23"/>
      <c r="Y30" s="23"/>
      <c r="Z30" s="23">
        <f t="shared" ref="Z30:Z34" si="47">(H30+K30+L30+M30+N30+P30+S30+T30)*Z$4</f>
        <v>0</v>
      </c>
      <c r="AA30" s="23">
        <f t="shared" ref="AA30:AA34" si="48">(H30+K30+L30+M30+N30+P30+R30+S30+T30)*AA$4</f>
        <v>0</v>
      </c>
      <c r="AB30" s="29">
        <f t="shared" si="5"/>
        <v>0</v>
      </c>
      <c r="AC30" s="30">
        <f t="shared" si="20"/>
        <v>0</v>
      </c>
      <c r="AD30" s="23">
        <f>I30*AD$4</f>
        <v>0</v>
      </c>
      <c r="AE30" s="23">
        <f>(I30+AD30)*AE$4</f>
        <v>0</v>
      </c>
      <c r="AF30" s="23"/>
      <c r="AG30" s="23"/>
      <c r="AH30" s="23"/>
      <c r="AI30" s="23"/>
      <c r="AJ30" s="23"/>
      <c r="AK30" s="23">
        <f t="shared" si="31"/>
        <v>0</v>
      </c>
      <c r="AL30" s="23"/>
      <c r="AM30" s="23"/>
      <c r="AN30" s="23">
        <f t="shared" ref="AN30:AN34" si="49">(I30+AD30+AE30+AF30+AG30+AI30+AK30+AL30+AM30)*AN$4</f>
        <v>0</v>
      </c>
      <c r="AO30" s="23">
        <f t="shared" ref="AO30:AO34" si="50">(I30+AD30+AE30+AF30+AG30+AI30+AK30+AL30+AM30)*AO$4</f>
        <v>0</v>
      </c>
      <c r="AP30" s="23">
        <f>(I30+AD30)*AP$4</f>
        <v>0</v>
      </c>
      <c r="AQ30" s="23"/>
      <c r="AR30" s="23"/>
      <c r="AS30" s="23">
        <f t="shared" ref="AS30:AS34" si="51">(I30+AD30+AE30+AF30+AG30+AI30+AL30+AM30)*AS$4</f>
        <v>0</v>
      </c>
      <c r="AT30" s="23">
        <f t="shared" ref="AT30:AT34" si="52">(I30+AD30+AE30+AF30+AG30+AI30+AK30+AL30+AM30)*AT$4</f>
        <v>0</v>
      </c>
      <c r="AU30" s="29">
        <f t="shared" si="11"/>
        <v>0</v>
      </c>
      <c r="AV30" s="30">
        <f t="shared" si="12"/>
        <v>0</v>
      </c>
      <c r="AW30" s="23">
        <f>J30*AW$4</f>
        <v>0</v>
      </c>
      <c r="AX30" s="23">
        <f>(J30+AW30)*AX$4</f>
        <v>0</v>
      </c>
      <c r="AY30" s="23"/>
      <c r="AZ30" s="23"/>
      <c r="BA30" s="23"/>
      <c r="BB30" s="23"/>
      <c r="BC30" s="23"/>
      <c r="BD30" s="23">
        <f t="shared" si="39"/>
        <v>0</v>
      </c>
      <c r="BE30" s="23"/>
      <c r="BF30" s="23"/>
      <c r="BG30" s="23">
        <f t="shared" ref="BG30:BG34" si="53">(J30+AW30+AX30+AY30+AZ30+BB30+BD30+BE30+BF30)*BG$4</f>
        <v>0</v>
      </c>
      <c r="BH30" s="23">
        <f t="shared" ref="BH30:BH34" si="54">(J30+AW30+AX30+AY30+AZ30+BB30+BD30+BE30+BF30)*BH$4</f>
        <v>0</v>
      </c>
      <c r="BI30" s="23">
        <f>(J30+AW30)*BI$4</f>
        <v>0</v>
      </c>
      <c r="BJ30" s="23"/>
      <c r="BK30" s="23"/>
      <c r="BL30" s="23">
        <f t="shared" ref="BL30:BL34" si="55">(J30+AW30+AX30+AY30+AZ30+BB30+BE30+BF30)*BL$4</f>
        <v>0</v>
      </c>
      <c r="BM30" s="23">
        <f t="shared" ref="BM30:BM34" si="56">(J30+AW30+AX30+AY30+AZ30+BB30+BD30+BE30+BF30)*BM$4</f>
        <v>0</v>
      </c>
      <c r="BN30" s="29">
        <f t="shared" si="18"/>
        <v>0</v>
      </c>
      <c r="BO30" s="30">
        <f t="shared" si="19"/>
        <v>0</v>
      </c>
    </row>
    <row r="31" spans="2:67" ht="14.4" x14ac:dyDescent="0.3">
      <c r="B31" s="19" t="s">
        <v>103</v>
      </c>
      <c r="C31" s="19" t="s">
        <v>33</v>
      </c>
      <c r="D31" s="19" t="s">
        <v>103</v>
      </c>
      <c r="E31" s="19" t="s">
        <v>94</v>
      </c>
      <c r="F31" s="25" t="s">
        <v>95</v>
      </c>
      <c r="G31" s="19" t="s">
        <v>58</v>
      </c>
      <c r="H31" s="28">
        <v>0</v>
      </c>
      <c r="I31" s="28">
        <v>0</v>
      </c>
      <c r="J31" s="28">
        <v>0</v>
      </c>
      <c r="K31" s="23">
        <f>H31*K$4</f>
        <v>0</v>
      </c>
      <c r="L31" s="23">
        <f>(H31+K31)*L$4</f>
        <v>0</v>
      </c>
      <c r="M31" s="23"/>
      <c r="N31" s="23"/>
      <c r="O31" s="23"/>
      <c r="P31" s="23"/>
      <c r="Q31" s="23"/>
      <c r="R31" s="23">
        <f t="shared" si="23"/>
        <v>0</v>
      </c>
      <c r="S31" s="23"/>
      <c r="T31" s="23"/>
      <c r="U31" s="23">
        <f t="shared" si="45"/>
        <v>0</v>
      </c>
      <c r="V31" s="23">
        <f t="shared" si="46"/>
        <v>0</v>
      </c>
      <c r="W31" s="23">
        <f>(H31+K31)*W$4</f>
        <v>0</v>
      </c>
      <c r="X31" s="23"/>
      <c r="Y31" s="23"/>
      <c r="Z31" s="23">
        <f t="shared" si="47"/>
        <v>0</v>
      </c>
      <c r="AA31" s="23">
        <f t="shared" si="48"/>
        <v>0</v>
      </c>
      <c r="AB31" s="29">
        <f t="shared" si="5"/>
        <v>0</v>
      </c>
      <c r="AC31" s="30">
        <f t="shared" si="20"/>
        <v>0</v>
      </c>
      <c r="AD31" s="23">
        <f>I31*AD$4</f>
        <v>0</v>
      </c>
      <c r="AE31" s="23">
        <f>(I31+AD31)*AE$4</f>
        <v>0</v>
      </c>
      <c r="AF31" s="23"/>
      <c r="AG31" s="23"/>
      <c r="AH31" s="23"/>
      <c r="AI31" s="23"/>
      <c r="AJ31" s="23"/>
      <c r="AK31" s="23">
        <f t="shared" si="31"/>
        <v>0</v>
      </c>
      <c r="AL31" s="23"/>
      <c r="AM31" s="23"/>
      <c r="AN31" s="23">
        <f t="shared" si="49"/>
        <v>0</v>
      </c>
      <c r="AO31" s="23">
        <f t="shared" si="50"/>
        <v>0</v>
      </c>
      <c r="AP31" s="23">
        <f>(I31+AD31)*AP$4</f>
        <v>0</v>
      </c>
      <c r="AQ31" s="23"/>
      <c r="AR31" s="23"/>
      <c r="AS31" s="23">
        <f t="shared" si="51"/>
        <v>0</v>
      </c>
      <c r="AT31" s="23">
        <f t="shared" si="52"/>
        <v>0</v>
      </c>
      <c r="AU31" s="29">
        <f t="shared" si="11"/>
        <v>0</v>
      </c>
      <c r="AV31" s="30">
        <f t="shared" si="12"/>
        <v>0</v>
      </c>
      <c r="AW31" s="23">
        <f>J31*AW$4</f>
        <v>0</v>
      </c>
      <c r="AX31" s="23">
        <f>(J31+AW31)*AX$4</f>
        <v>0</v>
      </c>
      <c r="AY31" s="23"/>
      <c r="AZ31" s="23"/>
      <c r="BA31" s="23"/>
      <c r="BB31" s="23"/>
      <c r="BC31" s="23"/>
      <c r="BD31" s="23">
        <f t="shared" si="39"/>
        <v>0</v>
      </c>
      <c r="BE31" s="23"/>
      <c r="BF31" s="23"/>
      <c r="BG31" s="23">
        <f t="shared" si="53"/>
        <v>0</v>
      </c>
      <c r="BH31" s="23">
        <f t="shared" si="54"/>
        <v>0</v>
      </c>
      <c r="BI31" s="23">
        <f>(J31+AW31)*BI$4</f>
        <v>0</v>
      </c>
      <c r="BJ31" s="23"/>
      <c r="BK31" s="23"/>
      <c r="BL31" s="23">
        <f t="shared" si="55"/>
        <v>0</v>
      </c>
      <c r="BM31" s="23">
        <f t="shared" si="56"/>
        <v>0</v>
      </c>
      <c r="BN31" s="29">
        <f t="shared" si="18"/>
        <v>0</v>
      </c>
      <c r="BO31" s="30">
        <f t="shared" si="19"/>
        <v>0</v>
      </c>
    </row>
    <row r="32" spans="2:67" ht="14.4" x14ac:dyDescent="0.3">
      <c r="B32" s="19" t="s">
        <v>103</v>
      </c>
      <c r="C32" s="19" t="s">
        <v>33</v>
      </c>
      <c r="D32" s="19" t="s">
        <v>103</v>
      </c>
      <c r="E32" s="41" t="s">
        <v>96</v>
      </c>
      <c r="F32" s="19" t="s">
        <v>97</v>
      </c>
      <c r="G32" s="19" t="s">
        <v>58</v>
      </c>
      <c r="H32" s="28">
        <v>0</v>
      </c>
      <c r="I32" s="28">
        <v>0</v>
      </c>
      <c r="J32" s="28">
        <v>0</v>
      </c>
      <c r="K32" s="23"/>
      <c r="L32" s="23"/>
      <c r="M32" s="23"/>
      <c r="N32" s="23"/>
      <c r="O32" s="23"/>
      <c r="P32" s="23"/>
      <c r="Q32" s="23"/>
      <c r="R32" s="23">
        <f t="shared" si="23"/>
        <v>0</v>
      </c>
      <c r="S32" s="23"/>
      <c r="T32" s="23">
        <f>H32*T$4</f>
        <v>0</v>
      </c>
      <c r="U32" s="23">
        <f t="shared" si="45"/>
        <v>0</v>
      </c>
      <c r="V32" s="23">
        <f t="shared" si="46"/>
        <v>0</v>
      </c>
      <c r="W32" s="23"/>
      <c r="X32" s="23"/>
      <c r="Y32" s="23"/>
      <c r="Z32" s="23">
        <f t="shared" si="47"/>
        <v>0</v>
      </c>
      <c r="AA32" s="23">
        <f t="shared" si="48"/>
        <v>0</v>
      </c>
      <c r="AB32" s="29">
        <f t="shared" si="5"/>
        <v>0</v>
      </c>
      <c r="AC32" s="30">
        <f t="shared" si="20"/>
        <v>0</v>
      </c>
      <c r="AD32" s="23"/>
      <c r="AE32" s="23"/>
      <c r="AF32" s="23"/>
      <c r="AG32" s="23"/>
      <c r="AH32" s="23"/>
      <c r="AI32" s="23"/>
      <c r="AJ32" s="23"/>
      <c r="AK32" s="23">
        <f t="shared" si="31"/>
        <v>0</v>
      </c>
      <c r="AL32" s="23"/>
      <c r="AM32" s="23">
        <f>I32*AM$4</f>
        <v>0</v>
      </c>
      <c r="AN32" s="23">
        <f t="shared" si="49"/>
        <v>0</v>
      </c>
      <c r="AO32" s="23">
        <f t="shared" si="50"/>
        <v>0</v>
      </c>
      <c r="AP32" s="23"/>
      <c r="AQ32" s="23"/>
      <c r="AR32" s="23"/>
      <c r="AS32" s="23">
        <f t="shared" si="51"/>
        <v>0</v>
      </c>
      <c r="AT32" s="23">
        <f t="shared" si="52"/>
        <v>0</v>
      </c>
      <c r="AU32" s="29">
        <f t="shared" si="11"/>
        <v>0</v>
      </c>
      <c r="AV32" s="30">
        <f t="shared" si="12"/>
        <v>0</v>
      </c>
      <c r="AW32" s="23"/>
      <c r="AX32" s="23"/>
      <c r="AY32" s="23"/>
      <c r="AZ32" s="23"/>
      <c r="BA32" s="23"/>
      <c r="BB32" s="23"/>
      <c r="BC32" s="23"/>
      <c r="BD32" s="23">
        <f t="shared" si="39"/>
        <v>0</v>
      </c>
      <c r="BE32" s="23"/>
      <c r="BF32" s="23">
        <f>J32*BF$4</f>
        <v>0</v>
      </c>
      <c r="BG32" s="23">
        <f t="shared" si="53"/>
        <v>0</v>
      </c>
      <c r="BH32" s="23">
        <f t="shared" si="54"/>
        <v>0</v>
      </c>
      <c r="BI32" s="23"/>
      <c r="BJ32" s="23"/>
      <c r="BK32" s="23"/>
      <c r="BL32" s="23">
        <f t="shared" si="55"/>
        <v>0</v>
      </c>
      <c r="BM32" s="23">
        <f t="shared" si="56"/>
        <v>0</v>
      </c>
      <c r="BN32" s="29">
        <f t="shared" si="18"/>
        <v>0</v>
      </c>
      <c r="BO32" s="30">
        <f t="shared" si="19"/>
        <v>0</v>
      </c>
    </row>
    <row r="33" spans="2:67" ht="14.4" x14ac:dyDescent="0.3">
      <c r="B33" s="19" t="s">
        <v>103</v>
      </c>
      <c r="C33" s="19" t="s">
        <v>33</v>
      </c>
      <c r="D33" s="19" t="s">
        <v>103</v>
      </c>
      <c r="E33" s="19" t="s">
        <v>98</v>
      </c>
      <c r="F33" s="19" t="s">
        <v>99</v>
      </c>
      <c r="G33" s="19" t="s">
        <v>81</v>
      </c>
      <c r="H33" s="28">
        <v>0</v>
      </c>
      <c r="I33" s="28">
        <v>0</v>
      </c>
      <c r="J33" s="28">
        <v>0</v>
      </c>
      <c r="K33" s="23"/>
      <c r="L33" s="23"/>
      <c r="M33" s="23">
        <f>H33*M$4</f>
        <v>0</v>
      </c>
      <c r="N33" s="23">
        <f>(H33+M33)*N$4</f>
        <v>0</v>
      </c>
      <c r="O33" s="23"/>
      <c r="P33" s="23"/>
      <c r="Q33" s="23"/>
      <c r="R33" s="23">
        <f t="shared" si="23"/>
        <v>0</v>
      </c>
      <c r="S33" s="23"/>
      <c r="T33" s="23"/>
      <c r="U33" s="23">
        <f t="shared" si="45"/>
        <v>0</v>
      </c>
      <c r="V33" s="23">
        <f t="shared" si="46"/>
        <v>0</v>
      </c>
      <c r="W33" s="23"/>
      <c r="X33" s="23">
        <f>(H33+M33)*X$4</f>
        <v>0</v>
      </c>
      <c r="Y33" s="23"/>
      <c r="Z33" s="23">
        <f t="shared" si="47"/>
        <v>0</v>
      </c>
      <c r="AA33" s="23">
        <f t="shared" si="48"/>
        <v>0</v>
      </c>
      <c r="AB33" s="29">
        <f t="shared" si="5"/>
        <v>0</v>
      </c>
      <c r="AC33" s="30">
        <f t="shared" si="20"/>
        <v>0</v>
      </c>
      <c r="AD33" s="23"/>
      <c r="AE33" s="23"/>
      <c r="AF33" s="23">
        <f>I33*AF$4</f>
        <v>0</v>
      </c>
      <c r="AG33" s="23">
        <f>(I33+AF33)*AG$4</f>
        <v>0</v>
      </c>
      <c r="AH33" s="23"/>
      <c r="AI33" s="23"/>
      <c r="AJ33" s="23"/>
      <c r="AK33" s="23">
        <f t="shared" si="31"/>
        <v>0</v>
      </c>
      <c r="AL33" s="23"/>
      <c r="AM33" s="23"/>
      <c r="AN33" s="23">
        <f t="shared" si="49"/>
        <v>0</v>
      </c>
      <c r="AO33" s="23">
        <f t="shared" si="50"/>
        <v>0</v>
      </c>
      <c r="AP33" s="23"/>
      <c r="AQ33" s="23">
        <f>(I33+AF33)*AQ$4</f>
        <v>0</v>
      </c>
      <c r="AR33" s="23"/>
      <c r="AS33" s="23">
        <f t="shared" si="51"/>
        <v>0</v>
      </c>
      <c r="AT33" s="23">
        <f t="shared" si="52"/>
        <v>0</v>
      </c>
      <c r="AU33" s="29">
        <f t="shared" si="11"/>
        <v>0</v>
      </c>
      <c r="AV33" s="30">
        <f t="shared" si="12"/>
        <v>0</v>
      </c>
      <c r="AW33" s="23"/>
      <c r="AX33" s="23"/>
      <c r="AY33" s="23">
        <f>J33*AY$4</f>
        <v>0</v>
      </c>
      <c r="AZ33" s="23">
        <f>(J33+AY33)*AZ$4</f>
        <v>0</v>
      </c>
      <c r="BA33" s="23"/>
      <c r="BB33" s="23"/>
      <c r="BC33" s="23"/>
      <c r="BD33" s="23">
        <f t="shared" si="39"/>
        <v>0</v>
      </c>
      <c r="BE33" s="23"/>
      <c r="BF33" s="23"/>
      <c r="BG33" s="23">
        <f t="shared" si="53"/>
        <v>0</v>
      </c>
      <c r="BH33" s="23">
        <f t="shared" si="54"/>
        <v>0</v>
      </c>
      <c r="BI33" s="23"/>
      <c r="BJ33" s="23">
        <f>(J33+AY33)*BJ$4</f>
        <v>0</v>
      </c>
      <c r="BK33" s="23"/>
      <c r="BL33" s="23">
        <f t="shared" si="55"/>
        <v>0</v>
      </c>
      <c r="BM33" s="23">
        <f t="shared" si="56"/>
        <v>0</v>
      </c>
      <c r="BN33" s="29">
        <f t="shared" si="18"/>
        <v>0</v>
      </c>
      <c r="BO33" s="30">
        <f t="shared" si="19"/>
        <v>0</v>
      </c>
    </row>
    <row r="34" spans="2:67" ht="14.4" x14ac:dyDescent="0.3">
      <c r="B34" s="19" t="s">
        <v>103</v>
      </c>
      <c r="C34" s="19" t="s">
        <v>33</v>
      </c>
      <c r="D34" s="19" t="s">
        <v>103</v>
      </c>
      <c r="E34" s="41" t="s">
        <v>100</v>
      </c>
      <c r="F34" s="19" t="s">
        <v>101</v>
      </c>
      <c r="G34" s="19" t="s">
        <v>102</v>
      </c>
      <c r="H34" s="28">
        <v>0</v>
      </c>
      <c r="I34" s="28">
        <v>0</v>
      </c>
      <c r="J34" s="28">
        <v>0</v>
      </c>
      <c r="K34" s="23"/>
      <c r="L34" s="23"/>
      <c r="M34" s="23"/>
      <c r="N34" s="23"/>
      <c r="O34" s="23"/>
      <c r="P34" s="23"/>
      <c r="Q34" s="23"/>
      <c r="R34" s="23">
        <f t="shared" si="23"/>
        <v>0</v>
      </c>
      <c r="S34" s="23"/>
      <c r="T34" s="23">
        <f>H34*T$4</f>
        <v>0</v>
      </c>
      <c r="U34" s="23">
        <f t="shared" si="45"/>
        <v>0</v>
      </c>
      <c r="V34" s="23">
        <f t="shared" si="46"/>
        <v>0</v>
      </c>
      <c r="W34" s="23"/>
      <c r="X34" s="23"/>
      <c r="Y34" s="23"/>
      <c r="Z34" s="23">
        <f t="shared" si="47"/>
        <v>0</v>
      </c>
      <c r="AA34" s="23">
        <f t="shared" si="48"/>
        <v>0</v>
      </c>
      <c r="AB34" s="29">
        <f t="shared" si="5"/>
        <v>0</v>
      </c>
      <c r="AC34" s="30">
        <f t="shared" si="20"/>
        <v>0</v>
      </c>
      <c r="AD34" s="23"/>
      <c r="AE34" s="23"/>
      <c r="AF34" s="23"/>
      <c r="AG34" s="23"/>
      <c r="AH34" s="23"/>
      <c r="AI34" s="23"/>
      <c r="AJ34" s="23"/>
      <c r="AK34" s="23">
        <f t="shared" si="31"/>
        <v>0</v>
      </c>
      <c r="AL34" s="23"/>
      <c r="AM34" s="23">
        <f>I34*AM$4</f>
        <v>0</v>
      </c>
      <c r="AN34" s="23">
        <f t="shared" si="49"/>
        <v>0</v>
      </c>
      <c r="AO34" s="23">
        <f t="shared" si="50"/>
        <v>0</v>
      </c>
      <c r="AP34" s="23"/>
      <c r="AQ34" s="23"/>
      <c r="AR34" s="23"/>
      <c r="AS34" s="23">
        <f t="shared" si="51"/>
        <v>0</v>
      </c>
      <c r="AT34" s="23">
        <f t="shared" si="52"/>
        <v>0</v>
      </c>
      <c r="AU34" s="29">
        <f t="shared" si="11"/>
        <v>0</v>
      </c>
      <c r="AV34" s="30">
        <f t="shared" si="12"/>
        <v>0</v>
      </c>
      <c r="AW34" s="23"/>
      <c r="AX34" s="23"/>
      <c r="AY34" s="23"/>
      <c r="AZ34" s="23"/>
      <c r="BA34" s="23"/>
      <c r="BB34" s="23"/>
      <c r="BC34" s="23"/>
      <c r="BD34" s="23">
        <f t="shared" si="39"/>
        <v>0</v>
      </c>
      <c r="BE34" s="23"/>
      <c r="BF34" s="23">
        <f>J34*BF$4</f>
        <v>0</v>
      </c>
      <c r="BG34" s="23">
        <f t="shared" si="53"/>
        <v>0</v>
      </c>
      <c r="BH34" s="23">
        <f t="shared" si="54"/>
        <v>0</v>
      </c>
      <c r="BI34" s="23"/>
      <c r="BJ34" s="23"/>
      <c r="BK34" s="23"/>
      <c r="BL34" s="23">
        <f t="shared" si="55"/>
        <v>0</v>
      </c>
      <c r="BM34" s="23">
        <f t="shared" si="56"/>
        <v>0</v>
      </c>
      <c r="BN34" s="29">
        <f t="shared" si="18"/>
        <v>0</v>
      </c>
      <c r="BO34" s="30">
        <f t="shared" si="1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Skrobisz (PL)</dc:creator>
  <cp:lastModifiedBy>Dawid Skrobisz (PL)</cp:lastModifiedBy>
  <dcterms:created xsi:type="dcterms:W3CDTF">2026-10-12T13:16:40Z</dcterms:created>
  <dcterms:modified xsi:type="dcterms:W3CDTF">2026-10-12T13:21:15Z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884d6-46ec-40ca-a4e4-d9a7c6a7c5c9_Enabled">
    <vt:lpwstr>true</vt:lpwstr>
  </property>
  <property fmtid="{D5CDD505-2E9C-101B-9397-08002B2CF9AE}" pid="3" name="MSIP_Label_aac884d6-46ec-40ca-a4e4-d9a7c6a7c5c9_SetDate">
    <vt:lpwstr>2026-10-12T13:20:39Z</vt:lpwstr>
  </property>
  <property fmtid="{D5CDD505-2E9C-101B-9397-08002B2CF9AE}" pid="4" name="MSIP_Label_aac884d6-46ec-40ca-a4e4-d9a7c6a7c5c9_Method">
    <vt:lpwstr>Privileged</vt:lpwstr>
  </property>
  <property fmtid="{D5CDD505-2E9C-101B-9397-08002B2CF9AE}" pid="5" name="MSIP_Label_aac884d6-46ec-40ca-a4e4-d9a7c6a7c5c9_Name">
    <vt:lpwstr>Unrestricted</vt:lpwstr>
  </property>
  <property fmtid="{D5CDD505-2E9C-101B-9397-08002B2CF9AE}" pid="6" name="MSIP_Label_aac884d6-46ec-40ca-a4e4-d9a7c6a7c5c9_SiteId">
    <vt:lpwstr>3465c5b6-dc75-4b16-8bc3-8e00d98d1b0d</vt:lpwstr>
  </property>
  <property fmtid="{D5CDD505-2E9C-101B-9397-08002B2CF9AE}" pid="7" name="MSIP_Label_aac884d6-46ec-40ca-a4e4-d9a7c6a7c5c9_ActionId">
    <vt:lpwstr>7f86db49-8f5f-40b3-beed-598db2292dcc</vt:lpwstr>
  </property>
  <property fmtid="{D5CDD505-2E9C-101B-9397-08002B2CF9AE}" pid="8" name="MSIP_Label_aac884d6-46ec-40ca-a4e4-d9a7c6a7c5c9_ContentBits">
    <vt:lpwstr>0</vt:lpwstr>
  </property>
  <property fmtid="{D5CDD505-2E9C-101B-9397-08002B2CF9AE}" pid="9" name="MSIP_Label_aac884d6-46ec-40ca-a4e4-d9a7c6a7c5c9_Tag">
    <vt:lpwstr>10, 0, 1, 1</vt:lpwstr>
  </property>
</Properties>
</file>